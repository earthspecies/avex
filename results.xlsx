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sults v4" sheetId="1" r:id="rId4"/>
    <sheet state="visible" name="Main Results v3" sheetId="2" r:id="rId5"/>
    <sheet state="visible" name="Copy of Main Results v3" sheetId="3" r:id="rId6"/>
    <sheet state="visible" name="Main Results v2" sheetId="4" r:id="rId7"/>
    <sheet state="visible" name="Main Results v1" sheetId="5" r:id="rId8"/>
    <sheet state="visible" name="Main Results" sheetId="6" r:id="rId9"/>
    <sheet state="visible" name="Copy of Main Results" sheetId="7" r:id="rId10"/>
    <sheet state="visible" name="Main Results - Analysis" sheetId="8" r:id="rId11"/>
    <sheet state="visible" name="All Checkpoints" sheetId="9" r:id="rId12"/>
    <sheet state="visible" name="Sheet2" sheetId="10" r:id="rId13"/>
    <sheet state="visible" name="Checkpoints" sheetId="11" r:id="rId14"/>
    <sheet state="visible" name="Main v0" sheetId="12" r:id="rId15"/>
  </sheets>
  <definedNames/>
  <calcPr/>
</workbook>
</file>

<file path=xl/sharedStrings.xml><?xml version="1.0" encoding="utf-8"?>
<sst xmlns="http://schemas.openxmlformats.org/spreadsheetml/2006/main" count="12057" uniqueCount="2094">
  <si>
    <t>Metrics: Accuracy is used for classification via linear probe, mAP for linear probe detection. Metrics for retrieval are written as ROC-AUC / P@1. For clustering we report normalized mutual information/adjusted rand index</t>
  </si>
  <si>
    <t>Colors: grey means not ready. Pink = sus</t>
  </si>
  <si>
    <t>BEANS Classification</t>
  </si>
  <si>
    <t>BEANS Detection</t>
  </si>
  <si>
    <t>BirdSet</t>
  </si>
  <si>
    <t>Repertoire</t>
  </si>
  <si>
    <t>Individual ID</t>
  </si>
  <si>
    <t>BEANs Classification Avg</t>
  </si>
  <si>
    <t>BEANs Detection Avg</t>
  </si>
  <si>
    <t>BirdSet Avg</t>
  </si>
  <si>
    <t>Repertoire Avg</t>
  </si>
  <si>
    <t>Individual Avg</t>
  </si>
  <si>
    <t>Watkins</t>
  </si>
  <si>
    <t>CBI</t>
  </si>
  <si>
    <t>HBDB</t>
  </si>
  <si>
    <t>BATS</t>
  </si>
  <si>
    <t>Dogs</t>
  </si>
  <si>
    <t>ESC-50</t>
  </si>
  <si>
    <t>enabirds</t>
  </si>
  <si>
    <t>rfcx</t>
  </si>
  <si>
    <t>hiceas</t>
  </si>
  <si>
    <t>gibbons</t>
  </si>
  <si>
    <t>dcase</t>
  </si>
  <si>
    <t>POW</t>
  </si>
  <si>
    <t>PER</t>
  </si>
  <si>
    <t>NES</t>
  </si>
  <si>
    <t>NBP</t>
  </si>
  <si>
    <t>HSN</t>
  </si>
  <si>
    <t>UHH</t>
  </si>
  <si>
    <t>SNE</t>
  </si>
  <si>
    <t>SSW</t>
  </si>
  <si>
    <t>zebrafinch-je-id</t>
  </si>
  <si>
    <t>zebrafinch-je-call</t>
  </si>
  <si>
    <t>Giant Otters</t>
  </si>
  <si>
    <t>Bengalese Finch</t>
  </si>
  <si>
    <t>SRKW Orca</t>
  </si>
  <si>
    <t>chiffchaff-cross</t>
  </si>
  <si>
    <t>littleowls-cross</t>
  </si>
  <si>
    <t>pipit-cross</t>
  </si>
  <si>
    <t>macaques</t>
  </si>
  <si>
    <t>pipit-within-year</t>
  </si>
  <si>
    <t>BEANs Classification</t>
  </si>
  <si>
    <t>BEANs Detection</t>
  </si>
  <si>
    <t>Individual</t>
  </si>
  <si>
    <t>Probe</t>
  </si>
  <si>
    <t>R-auc</t>
  </si>
  <si>
    <t>R-p@1</t>
  </si>
  <si>
    <t>C-nmi</t>
  </si>
  <si>
    <t>C-ari</t>
  </si>
  <si>
    <t>R-cross-auc</t>
  </si>
  <si>
    <t>R-cross-p@1</t>
  </si>
  <si>
    <t>R-pri-auc</t>
  </si>
  <si>
    <t>Existing models</t>
  </si>
  <si>
    <t>BEATS (SFT)</t>
  </si>
  <si>
    <t>0.775</t>
  </si>
  <si>
    <t>0.664</t>
  </si>
  <si>
    <t>0.610</t>
  </si>
  <si>
    <t>0.259</t>
  </si>
  <si>
    <t>0.710</t>
  </si>
  <si>
    <t>0.285</t>
  </si>
  <si>
    <t>0.567</t>
  </si>
  <si>
    <t>0.056</t>
  </si>
  <si>
    <t>0.702</t>
  </si>
  <si>
    <t>0.678</t>
  </si>
  <si>
    <t>0.391</t>
  </si>
  <si>
    <t>0.210</t>
  </si>
  <si>
    <t>0.614</t>
  </si>
  <si>
    <t>0.431</t>
  </si>
  <si>
    <t>0.184</t>
  </si>
  <si>
    <t>0.105</t>
  </si>
  <si>
    <t>0.647</t>
  </si>
  <si>
    <t>0.669</t>
  </si>
  <si>
    <t>0.350</t>
  </si>
  <si>
    <t>0.125</t>
  </si>
  <si>
    <t>0.984</t>
  </si>
  <si>
    <t>0.945</t>
  </si>
  <si>
    <t>0.921</t>
  </si>
  <si>
    <t>0.773</t>
  </si>
  <si>
    <t>0.643</t>
  </si>
  <si>
    <t>0.900</t>
  </si>
  <si>
    <t>0.713</t>
  </si>
  <si>
    <t>0.300</t>
  </si>
  <si>
    <t>0.584</t>
  </si>
  <si>
    <t>0.509</t>
  </si>
  <si>
    <t>0.673</t>
  </si>
  <si>
    <t>0.691</t>
  </si>
  <si>
    <t>0.847</t>
  </si>
  <si>
    <t>0.698</t>
  </si>
  <si>
    <t>0.654</t>
  </si>
  <si>
    <t>0.970</t>
  </si>
  <si>
    <t>0.642</t>
  </si>
  <si>
    <t>0.865</t>
  </si>
  <si>
    <t>0.726</t>
  </si>
  <si>
    <t>0.705</t>
  </si>
  <si>
    <t>0.649</t>
  </si>
  <si>
    <t>0.636</t>
  </si>
  <si>
    <t>0.625</t>
  </si>
  <si>
    <t>0.746</t>
  </si>
  <si>
    <t>0.828/678</t>
  </si>
  <si>
    <t>0.687</t>
  </si>
  <si>
    <t>0.471</t>
  </si>
  <si>
    <t>0.232</t>
  </si>
  <si>
    <t>0.887/0.876</t>
  </si>
  <si>
    <t>0.651</t>
  </si>
  <si>
    <t>0.779</t>
  </si>
  <si>
    <t>0.295</t>
  </si>
  <si>
    <t>0.131</t>
  </si>
  <si>
    <t>0.815</t>
  </si>
  <si>
    <t>0.519</t>
  </si>
  <si>
    <t>0.545</t>
  </si>
  <si>
    <t>0.237</t>
  </si>
  <si>
    <t>0.909</t>
  </si>
  <si>
    <t>0.443</t>
  </si>
  <si>
    <t>0.342</t>
  </si>
  <si>
    <t>BEATS (pretrained)</t>
  </si>
  <si>
    <t>0.806</t>
  </si>
  <si>
    <t>0.791</t>
  </si>
  <si>
    <t>0.694</t>
  </si>
  <si>
    <t>0.368</t>
  </si>
  <si>
    <t>0.679</t>
  </si>
  <si>
    <t>0.272</t>
  </si>
  <si>
    <t>0.564</t>
  </si>
  <si>
    <t>0.046</t>
  </si>
  <si>
    <t>0.718</t>
  </si>
  <si>
    <t>0.635</t>
  </si>
  <si>
    <t>0.517</t>
  </si>
  <si>
    <t>0.191</t>
  </si>
  <si>
    <t>0.096</t>
  </si>
  <si>
    <t>0.666</t>
  </si>
  <si>
    <t>0.427</t>
  </si>
  <si>
    <t>0.917</t>
  </si>
  <si>
    <t>0.890</t>
  </si>
  <si>
    <t>0.813</t>
  </si>
  <si>
    <t>0.481</t>
  </si>
  <si>
    <t>0.938</t>
  </si>
  <si>
    <t>0.720</t>
  </si>
  <si>
    <t>0.328</t>
  </si>
  <si>
    <t>0.627</t>
  </si>
  <si>
    <t>0.501</t>
  </si>
  <si>
    <t>0.686</t>
  </si>
  <si>
    <t>0.761</t>
  </si>
  <si>
    <t>0.897</t>
  </si>
  <si>
    <t>0.743</t>
  </si>
  <si>
    <t>0.703</t>
  </si>
  <si>
    <t>0.977</t>
  </si>
  <si>
    <t>0.898</t>
  </si>
  <si>
    <t>0.731</t>
  </si>
  <si>
    <t>0.734</t>
  </si>
  <si>
    <t>0.648</t>
  </si>
  <si>
    <t>0.568</t>
  </si>
  <si>
    <t>0.742</t>
  </si>
  <si>
    <t>0.811</t>
  </si>
  <si>
    <t>0.540</t>
  </si>
  <si>
    <t>0.362</t>
  </si>
  <si>
    <t>0.707</t>
  </si>
  <si>
    <t>0.856</t>
  </si>
  <si>
    <t>0.352</t>
  </si>
  <si>
    <t>0.218</t>
  </si>
  <si>
    <t>0.848</t>
  </si>
  <si>
    <t>0.571</t>
  </si>
  <si>
    <t>0.577</t>
  </si>
  <si>
    <t>0.224</t>
  </si>
  <si>
    <t>0.827</t>
  </si>
  <si>
    <t>0.931</t>
  </si>
  <si>
    <t>0.640</t>
  </si>
  <si>
    <t>0.590</t>
  </si>
  <si>
    <t>EAT-base (pretrained)</t>
  </si>
  <si>
    <t>0.744</t>
  </si>
  <si>
    <t>0.672</t>
  </si>
  <si>
    <t>0.585</t>
  </si>
  <si>
    <t>0.216</t>
  </si>
  <si>
    <t>0.617</t>
  </si>
  <si>
    <t>0.158</t>
  </si>
  <si>
    <t>0.502</t>
  </si>
  <si>
    <t>0.017</t>
  </si>
  <si>
    <t>0.630</t>
  </si>
  <si>
    <t>0.722</t>
  </si>
  <si>
    <t>0.482</t>
  </si>
  <si>
    <t>0.279</t>
  </si>
  <si>
    <t>0.588</t>
  </si>
  <si>
    <t>0.45</t>
  </si>
  <si>
    <t>0.066</t>
  </si>
  <si>
    <t>0.460</t>
  </si>
  <si>
    <t>0.194</t>
  </si>
  <si>
    <t>0.033</t>
  </si>
  <si>
    <t>0.884</t>
  </si>
  <si>
    <t>0.723</t>
  </si>
  <si>
    <t>0.655</t>
  </si>
  <si>
    <t>0.206</t>
  </si>
  <si>
    <t>0.631</t>
  </si>
  <si>
    <t>0.899</t>
  </si>
  <si>
    <t>0.706</t>
  </si>
  <si>
    <t>0.306</t>
  </si>
  <si>
    <t>0.572</t>
  </si>
  <si>
    <t>0.660</t>
  </si>
  <si>
    <t>0.657</t>
  </si>
  <si>
    <t>0.658</t>
  </si>
  <si>
    <t>0.966</t>
  </si>
  <si>
    <t>0.621</t>
  </si>
  <si>
    <t>0.877</t>
  </si>
  <si>
    <t>0.712</t>
  </si>
  <si>
    <t>0.693</t>
  </si>
  <si>
    <t>0.548</t>
  </si>
  <si>
    <t>0.602</t>
  </si>
  <si>
    <t>0.788</t>
  </si>
  <si>
    <t>0.825</t>
  </si>
  <si>
    <t>0.465</t>
  </si>
  <si>
    <t>0.226</t>
  </si>
  <si>
    <t>0.684</t>
  </si>
  <si>
    <t>0.231</t>
  </si>
  <si>
    <t>0.071</t>
  </si>
  <si>
    <t>0.546</t>
  </si>
  <si>
    <t>0.503</t>
  </si>
  <si>
    <t>0.173</t>
  </si>
  <si>
    <t>0.804</t>
  </si>
  <si>
    <t>0.949</t>
  </si>
  <si>
    <t>0.412</t>
  </si>
  <si>
    <t>0.265</t>
  </si>
  <si>
    <t>EAT-base (SFT)</t>
  </si>
  <si>
    <t>0.808</t>
  </si>
  <si>
    <t>0.613</t>
  </si>
  <si>
    <t>0.257</t>
  </si>
  <si>
    <t>0.714</t>
  </si>
  <si>
    <t>0.280</t>
  </si>
  <si>
    <t>0.558</t>
  </si>
  <si>
    <t>0.049</t>
  </si>
  <si>
    <t>0.104</t>
  </si>
  <si>
    <t>.461</t>
  </si>
  <si>
    <t>0.135</t>
  </si>
  <si>
    <t>0.659</t>
  </si>
  <si>
    <t>0.992</t>
  </si>
  <si>
    <t>0.771</t>
  </si>
  <si>
    <t>0.920</t>
  </si>
  <si>
    <t>0.709</t>
  </si>
  <si>
    <t>0.287</t>
  </si>
  <si>
    <t>0.699</t>
  </si>
  <si>
    <t>0.736</t>
  </si>
  <si>
    <t>0.904</t>
  </si>
  <si>
    <t>0.760</t>
  </si>
  <si>
    <t>0.976</t>
  </si>
  <si>
    <t>0.634</t>
  </si>
  <si>
    <t>0.879</t>
  </si>
  <si>
    <t>0.745</t>
  </si>
  <si>
    <t>0.749</t>
  </si>
  <si>
    <t>0.732</t>
  </si>
  <si>
    <t>0.929/0.849</t>
  </si>
  <si>
    <t>0.832</t>
  </si>
  <si>
    <t>0.836</t>
  </si>
  <si>
    <t>0.543</t>
  </si>
  <si>
    <t>0.339</t>
  </si>
  <si>
    <t>0.857/0.955</t>
  </si>
  <si>
    <t>0.894</t>
  </si>
  <si>
    <t>0.341</t>
  </si>
  <si>
    <t>0.239</t>
  </si>
  <si>
    <t>0.855</t>
  </si>
  <si>
    <t>0.562</t>
  </si>
  <si>
    <t>0.591</t>
  </si>
  <si>
    <t>0.274</t>
  </si>
  <si>
    <t>0.959</t>
  </si>
  <si>
    <t>0.639</t>
  </si>
  <si>
    <t>0.595</t>
  </si>
  <si>
    <t>Bird-AVES-biox-base</t>
  </si>
  <si>
    <t>0.667</t>
  </si>
  <si>
    <t>0.556</t>
  </si>
  <si>
    <t>0.179</t>
  </si>
  <si>
    <t>0.521</t>
  </si>
  <si>
    <t>0.023</t>
  </si>
  <si>
    <t>0.594</t>
  </si>
  <si>
    <t>0.727</t>
  </si>
  <si>
    <t>0.435</t>
  </si>
  <si>
    <t>0.197</t>
  </si>
  <si>
    <t>0.593</t>
  </si>
  <si>
    <t>0.396</t>
  </si>
  <si>
    <t>0.091</t>
  </si>
  <si>
    <t>0.037</t>
  </si>
  <si>
    <t>0.453</t>
  </si>
  <si>
    <t>0.233</t>
  </si>
  <si>
    <t>0.051</t>
  </si>
  <si>
    <t>0.527</t>
  </si>
  <si>
    <t>0.624</t>
  </si>
  <si>
    <t>0.172</t>
  </si>
  <si>
    <t>0.646</t>
  </si>
  <si>
    <t>0.612</t>
  </si>
  <si>
    <t>0.764</t>
  </si>
  <si>
    <t>0.626</t>
  </si>
  <si>
    <t>0.652</t>
  </si>
  <si>
    <t>0.850</t>
  </si>
  <si>
    <t>0.553</t>
  </si>
  <si>
    <t>0.973</t>
  </si>
  <si>
    <t>0.615</t>
  </si>
  <si>
    <t>0.885</t>
  </si>
  <si>
    <t>0.755</t>
  </si>
  <si>
    <t>0.601</t>
  </si>
  <si>
    <t>0.757</t>
  </si>
  <si>
    <t>0.436</t>
  </si>
  <si>
    <t>0.289</t>
  </si>
  <si>
    <t>0.253</t>
  </si>
  <si>
    <t>0.171</t>
  </si>
  <si>
    <t>0.751</t>
  </si>
  <si>
    <t>0.461</t>
  </si>
  <si>
    <t>0.142</t>
  </si>
  <si>
    <t>0.840</t>
  </si>
  <si>
    <t>0.933</t>
  </si>
  <si>
    <t>0.609</t>
  </si>
  <si>
    <t>0.542</t>
  </si>
  <si>
    <t>BEATS-NatureLM-audio</t>
  </si>
  <si>
    <t>0.872</t>
  </si>
  <si>
    <t>0.852</t>
  </si>
  <si>
    <t>0.506</t>
  </si>
  <si>
    <t>0.756</t>
  </si>
  <si>
    <t>0.348</t>
  </si>
  <si>
    <t>0.586</t>
  </si>
  <si>
    <t>0.068</t>
  </si>
  <si>
    <t>0.724</t>
  </si>
  <si>
    <t>0.243</t>
  </si>
  <si>
    <t>0.187</t>
  </si>
  <si>
    <t>0.951</t>
  </si>
  <si>
    <t>0.838</t>
  </si>
  <si>
    <t>0.798</t>
  </si>
  <si>
    <t>0.468</t>
  </si>
  <si>
    <t>0.956</t>
  </si>
  <si>
    <t>0.345</t>
  </si>
  <si>
    <t>0.522</t>
  </si>
  <si>
    <t>0.893</t>
  </si>
  <si>
    <t>0.752</t>
  </si>
  <si>
    <t>0.988</t>
  </si>
  <si>
    <t>0.690</t>
  </si>
  <si>
    <t>0.914</t>
  </si>
  <si>
    <t>0.819</t>
  </si>
  <si>
    <t>0.774</t>
  </si>
  <si>
    <t>0.708</t>
  </si>
  <si>
    <t>0.787</t>
  </si>
  <si>
    <t>0.574</t>
  </si>
  <si>
    <t>0.776</t>
  </si>
  <si>
    <t>0.841</t>
  </si>
  <si>
    <t>0.778</t>
  </si>
  <si>
    <t>0.576</t>
  </si>
  <si>
    <t>0.355</t>
  </si>
  <si>
    <t>0.704</t>
  </si>
  <si>
    <t>0.351</t>
  </si>
  <si>
    <t>0.267</t>
  </si>
  <si>
    <t>0.862</t>
  </si>
  <si>
    <t>0.240</t>
  </si>
  <si>
    <t>0.857</t>
  </si>
  <si>
    <t>SurfPerch</t>
  </si>
  <si>
    <t>BirdNet</t>
  </si>
  <si>
    <t>0.826</t>
  </si>
  <si>
    <t>0.616</t>
  </si>
  <si>
    <t>0.219</t>
  </si>
  <si>
    <t>0.835</t>
  </si>
  <si>
    <t>0.661</t>
  </si>
  <si>
    <t>0.488</t>
  </si>
  <si>
    <t>0.255</t>
  </si>
  <si>
    <t>0.528</t>
  </si>
  <si>
    <t>0.225</t>
  </si>
  <si>
    <t>0.123</t>
  </si>
  <si>
    <t>0.490</t>
  </si>
  <si>
    <t>0.230</t>
  </si>
  <si>
    <t>0.878</t>
  </si>
  <si>
    <t>0.200</t>
  </si>
  <si>
    <t>0.961</t>
  </si>
  <si>
    <t>0.747</t>
  </si>
  <si>
    <t>0.256</t>
  </si>
  <si>
    <t>0.532</t>
  </si>
  <si>
    <t>0.499</t>
  </si>
  <si>
    <t>0.968</t>
  </si>
  <si>
    <t>0.772</t>
  </si>
  <si>
    <t>0.683</t>
  </si>
  <si>
    <t>0.685</t>
  </si>
  <si>
    <t>0.512</t>
  </si>
  <si>
    <t>0.807</t>
  </si>
  <si>
    <t>0.330</t>
  </si>
  <si>
    <t>0.378</t>
  </si>
  <si>
    <t>0.165</t>
  </si>
  <si>
    <t>0.575</t>
  </si>
  <si>
    <t>0.539</t>
  </si>
  <si>
    <t>0.916</t>
  </si>
  <si>
    <t>Perch</t>
  </si>
  <si>
    <t>0.780</t>
  </si>
  <si>
    <t>0.587</t>
  </si>
  <si>
    <t>0.565</t>
  </si>
  <si>
    <t>0.183</t>
  </si>
  <si>
    <t>0.868</t>
  </si>
  <si>
    <t>0.715</t>
  </si>
  <si>
    <t>0.127</t>
  </si>
  <si>
    <t>0.611</t>
  </si>
  <si>
    <t>0.551</t>
  </si>
  <si>
    <t>0.387</t>
  </si>
  <si>
    <t>0.185</t>
  </si>
  <si>
    <t>0.106</t>
  </si>
  <si>
    <t>0.758</t>
  </si>
  <si>
    <t>0.834</t>
  </si>
  <si>
    <t>0.358</t>
  </si>
  <si>
    <t>0.907</t>
  </si>
  <si>
    <t>0.790</t>
  </si>
  <si>
    <t>0.932</t>
  </si>
  <si>
    <t>0.783</t>
  </si>
  <si>
    <t>0.291</t>
  </si>
  <si>
    <t>0.530</t>
  </si>
  <si>
    <t>0.451</t>
  </si>
  <si>
    <t>0.622</t>
  </si>
  <si>
    <t>0.792</t>
  </si>
  <si>
    <t>0.637</t>
  </si>
  <si>
    <t>0.845</t>
  </si>
  <si>
    <t>0.547</t>
  </si>
  <si>
    <t>0.335</t>
  </si>
  <si>
    <t>0.892</t>
  </si>
  <si>
    <t>0.284</t>
  </si>
  <si>
    <t>0.149</t>
  </si>
  <si>
    <t>0.854</t>
  </si>
  <si>
    <t>0.645</t>
  </si>
  <si>
    <t>0.277</t>
  </si>
  <si>
    <t>0.663</t>
  </si>
  <si>
    <t>New Models</t>
  </si>
  <si>
    <t>EffNetB0-AudioSet</t>
  </si>
  <si>
    <t>0.759</t>
  </si>
  <si>
    <t>0.581</t>
  </si>
  <si>
    <t>0.753</t>
  </si>
  <si>
    <t>0.155</t>
  </si>
  <si>
    <t>0.531</t>
  </si>
  <si>
    <t>0.182</t>
  </si>
  <si>
    <t>0.633</t>
  </si>
  <si>
    <t>0.310</t>
  </si>
  <si>
    <t>0.153</t>
  </si>
  <si>
    <t>0.347</t>
  </si>
  <si>
    <t>0.156</t>
  </si>
  <si>
    <t>0.078</t>
  </si>
  <si>
    <t>0.511</t>
  </si>
  <si>
    <t>0.312</t>
  </si>
  <si>
    <t>0.092</t>
  </si>
  <si>
    <t>0.969</t>
  </si>
  <si>
    <t>0.875</t>
  </si>
  <si>
    <t>0.563</t>
  </si>
  <si>
    <t>0.175</t>
  </si>
  <si>
    <t>0.561</t>
  </si>
  <si>
    <t>0.441</t>
  </si>
  <si>
    <t>0.589</t>
  </si>
  <si>
    <t>0.582</t>
  </si>
  <si>
    <t>0.569</t>
  </si>
  <si>
    <t>0.719</t>
  </si>
  <si>
    <t>0.728</t>
  </si>
  <si>
    <t>0.786</t>
  </si>
  <si>
    <t>0.286</t>
  </si>
  <si>
    <t>0.701</t>
  </si>
  <si>
    <t>0.839</t>
  </si>
  <si>
    <t>0.354</t>
  </si>
  <si>
    <t>0.458</t>
  </si>
  <si>
    <t>0.438</t>
  </si>
  <si>
    <t>0.118</t>
  </si>
  <si>
    <t>0.823</t>
  </si>
  <si>
    <t>0.937</t>
  </si>
  <si>
    <t>EffNetB0-bio</t>
  </si>
  <si>
    <t>0.762</t>
  </si>
  <si>
    <t>0.477</t>
  </si>
  <si>
    <t>0.912</t>
  </si>
  <si>
    <t>0.768</t>
  </si>
  <si>
    <t>0.346</t>
  </si>
  <si>
    <t>0.395</t>
  </si>
  <si>
    <t>0.452</t>
  </si>
  <si>
    <t>0.214</t>
  </si>
  <si>
    <t>0.126</t>
  </si>
  <si>
    <t>0.930</t>
  </si>
  <si>
    <t>0.478</t>
  </si>
  <si>
    <t>0.739</t>
  </si>
  <si>
    <t>0.717</t>
  </si>
  <si>
    <t>0.985</t>
  </si>
  <si>
    <t>0.846</t>
  </si>
  <si>
    <t>0.544</t>
  </si>
  <si>
    <t>0.784</t>
  </si>
  <si>
    <t>0.843</t>
  </si>
  <si>
    <t>0.466</t>
  </si>
  <si>
    <t>0.828</t>
  </si>
  <si>
    <t>0.258</t>
  </si>
  <si>
    <t>0.952</t>
  </si>
  <si>
    <t>0.721</t>
  </si>
  <si>
    <t>EffNetB0-all</t>
  </si>
  <si>
    <t>0.817</t>
  </si>
  <si>
    <t>0.415</t>
  </si>
  <si>
    <t>0.910</t>
  </si>
  <si>
    <t>0.741</t>
  </si>
  <si>
    <t>0.129</t>
  </si>
  <si>
    <t>0.579</t>
  </si>
  <si>
    <t>0.338</t>
  </si>
  <si>
    <t>0.770</t>
  </si>
  <si>
    <t>0.692</t>
  </si>
  <si>
    <t>0.944</t>
  </si>
  <si>
    <t>0.241</t>
  </si>
  <si>
    <t>0.555</t>
  </si>
  <si>
    <t>0.425</t>
  </si>
  <si>
    <t>0.725</t>
  </si>
  <si>
    <t>0.901</t>
  </si>
  <si>
    <t>0.99</t>
  </si>
  <si>
    <t>0.858</t>
  </si>
  <si>
    <t>0.777</t>
  </si>
  <si>
    <t>0.525</t>
  </si>
  <si>
    <t>0.849</t>
  </si>
  <si>
    <t>0.416</t>
  </si>
  <si>
    <t>0.905</t>
  </si>
  <si>
    <t>0.381</t>
  </si>
  <si>
    <t>0.228</t>
  </si>
  <si>
    <t>0.842</t>
  </si>
  <si>
    <t>0.915</t>
  </si>
  <si>
    <t>0.954</t>
  </si>
  <si>
    <t>EffNetB0-bio-soundscape</t>
  </si>
  <si>
    <t>0.870</t>
  </si>
  <si>
    <t>0.793</t>
  </si>
  <si>
    <t>0.918</t>
  </si>
  <si>
    <t>0.371</t>
  </si>
  <si>
    <t>0.675</t>
  </si>
  <si>
    <t>0.390</t>
  </si>
  <si>
    <t>0.457</t>
  </si>
  <si>
    <t>0.213</t>
  </si>
  <si>
    <t>0.119</t>
  </si>
  <si>
    <t>0.737</t>
  </si>
  <si>
    <t>0.799</t>
  </si>
  <si>
    <t>0.434</t>
  </si>
  <si>
    <t>0.157</t>
  </si>
  <si>
    <t>0.696</t>
  </si>
  <si>
    <t>0.248</t>
  </si>
  <si>
    <t>0.923</t>
  </si>
  <si>
    <t>0.733</t>
  </si>
  <si>
    <t>0.518</t>
  </si>
  <si>
    <t>0.473</t>
  </si>
  <si>
    <t>0.880</t>
  </si>
  <si>
    <t>0.730</t>
  </si>
  <si>
    <t>EffNetB0-bio-wabad</t>
  </si>
  <si>
    <t>0.925</t>
  </si>
  <si>
    <t>0.797</t>
  </si>
  <si>
    <t>0.919</t>
  </si>
  <si>
    <t>0.137</t>
  </si>
  <si>
    <t>0.322</t>
  </si>
  <si>
    <t>0.891</t>
  </si>
  <si>
    <t>0.244</t>
  </si>
  <si>
    <t>0.535</t>
  </si>
  <si>
    <t>0.397</t>
  </si>
  <si>
    <t>0.677</t>
  </si>
  <si>
    <t>0.881</t>
  </si>
  <si>
    <t>EffNetB0-no-whales</t>
  </si>
  <si>
    <t>EffNetB0-no-birds</t>
  </si>
  <si>
    <t>EffNetB0-birds</t>
  </si>
  <si>
    <t>EAT-AS</t>
  </si>
  <si>
    <t>0.802</t>
  </si>
  <si>
    <t>0.729</t>
  </si>
  <si>
    <t>0.323</t>
  </si>
  <si>
    <t>0.520</t>
  </si>
  <si>
    <t>0.021</t>
  </si>
  <si>
    <t>0.489</t>
  </si>
  <si>
    <t>0.281</t>
  </si>
  <si>
    <t>0.632</t>
  </si>
  <si>
    <t>0.510</t>
  </si>
  <si>
    <t>0.212</t>
  </si>
  <si>
    <t>0.110</t>
  </si>
  <si>
    <t>0.604</t>
  </si>
  <si>
    <t>0.504</t>
  </si>
  <si>
    <t>0.236</t>
  </si>
  <si>
    <t>0.035</t>
  </si>
  <si>
    <t>0.750</t>
  </si>
  <si>
    <t>0.308</t>
  </si>
  <si>
    <t>0.665</t>
  </si>
  <si>
    <t>0.903</t>
  </si>
  <si>
    <t>0.638</t>
  </si>
  <si>
    <t>0.301</t>
  </si>
  <si>
    <t>0.128</t>
  </si>
  <si>
    <t>0.833</t>
  </si>
  <si>
    <t>0.566</t>
  </si>
  <si>
    <t>0.958</t>
  </si>
  <si>
    <t>0.508</t>
  </si>
  <si>
    <t>EAT-bio</t>
  </si>
  <si>
    <t>0.221</t>
  </si>
  <si>
    <t>0.629</t>
  </si>
  <si>
    <t>0.189</t>
  </si>
  <si>
    <t>0.514</t>
  </si>
  <si>
    <t>0.455</t>
  </si>
  <si>
    <t>0.249</t>
  </si>
  <si>
    <t>0.5962</t>
  </si>
  <si>
    <t>0.151</t>
  </si>
  <si>
    <t>0.082</t>
  </si>
  <si>
    <t>0.583</t>
  </si>
  <si>
    <t>0.424</t>
  </si>
  <si>
    <t>0.196</t>
  </si>
  <si>
    <t>0.027</t>
  </si>
  <si>
    <t>0.782</t>
  </si>
  <si>
    <t>0.580</t>
  </si>
  <si>
    <t>0.103</t>
  </si>
  <si>
    <t>0.922</t>
  </si>
  <si>
    <t>0.515</t>
  </si>
  <si>
    <t>0.971</t>
  </si>
  <si>
    <t>0.618</t>
  </si>
  <si>
    <t>0.662</t>
  </si>
  <si>
    <t>0.603</t>
  </si>
  <si>
    <t>0.676</t>
  </si>
  <si>
    <t>0.789</t>
  </si>
  <si>
    <t>0.207</t>
  </si>
  <si>
    <t>0.246</t>
  </si>
  <si>
    <t>0.809</t>
  </si>
  <si>
    <t>0.211</t>
  </si>
  <si>
    <t>0.426</t>
  </si>
  <si>
    <t>0.283</t>
  </si>
  <si>
    <t>EAT-all</t>
  </si>
  <si>
    <t>0.644</t>
  </si>
  <si>
    <t>0.516</t>
  </si>
  <si>
    <t>0.475</t>
  </si>
  <si>
    <t>0.294</t>
  </si>
  <si>
    <t>0.162</t>
  </si>
  <si>
    <t>0.087</t>
  </si>
  <si>
    <t>0.227</t>
  </si>
  <si>
    <t>0.039</t>
  </si>
  <si>
    <t>0.689</t>
  </si>
  <si>
    <t>0.270</t>
  </si>
  <si>
    <t>0.668</t>
  </si>
  <si>
    <t>0.929</t>
  </si>
  <si>
    <t>0.349</t>
  </si>
  <si>
    <t>0.560</t>
  </si>
  <si>
    <t>0.333</t>
  </si>
  <si>
    <t>0.222</t>
  </si>
  <si>
    <t>0.820</t>
  </si>
  <si>
    <t>0.549</t>
  </si>
  <si>
    <t>0.529</t>
  </si>
  <si>
    <t>0.447</t>
  </si>
  <si>
    <t>sl-BEATS-bio</t>
  </si>
  <si>
    <t>0.911</t>
  </si>
  <si>
    <t>0.867</t>
  </si>
  <si>
    <t>0.801</t>
  </si>
  <si>
    <t>0.385</t>
  </si>
  <si>
    <t>0.711</t>
  </si>
  <si>
    <t>0.470</t>
  </si>
  <si>
    <t>0.250</t>
  </si>
  <si>
    <t>0.656</t>
  </si>
  <si>
    <t>0.487</t>
  </si>
  <si>
    <t>0.205</t>
  </si>
  <si>
    <t>0.934</t>
  </si>
  <si>
    <t>0.805</t>
  </si>
  <si>
    <t>0.939</t>
  </si>
  <si>
    <t>0.252</t>
  </si>
  <si>
    <t>0.537</t>
  </si>
  <si>
    <t>0.989</t>
  </si>
  <si>
    <t>0.800</t>
  </si>
  <si>
    <t>0.700</t>
  </si>
  <si>
    <t>0.369</t>
  </si>
  <si>
    <t>0.245</t>
  </si>
  <si>
    <t>0.275</t>
  </si>
  <si>
    <t>0.873</t>
  </si>
  <si>
    <t>0.688</t>
  </si>
  <si>
    <t>sl-BEATS-all</t>
  </si>
  <si>
    <t>0.896</t>
  </si>
  <si>
    <t>0.853</t>
  </si>
  <si>
    <t>0.781</t>
  </si>
  <si>
    <t>0.697</t>
  </si>
  <si>
    <t>0.492</t>
  </si>
  <si>
    <t>0.133</t>
  </si>
  <si>
    <t>0.895</t>
  </si>
  <si>
    <t>0.716</t>
  </si>
  <si>
    <t>0.940</t>
  </si>
  <si>
    <t>0.235</t>
  </si>
  <si>
    <t>0.906</t>
  </si>
  <si>
    <t>0.305</t>
  </si>
  <si>
    <t>0.596</t>
  </si>
  <si>
    <t>0.554</t>
  </si>
  <si>
    <t>0.599</t>
  </si>
  <si>
    <t>sl-EAT-bio</t>
  </si>
  <si>
    <t>0.941</t>
  </si>
  <si>
    <t>0.829</t>
  </si>
  <si>
    <t>0.407</t>
  </si>
  <si>
    <t>0.170</t>
  </si>
  <si>
    <t>0.311</t>
  </si>
  <si>
    <t>0.641</t>
  </si>
  <si>
    <t>0.670</t>
  </si>
  <si>
    <t>0.983</t>
  </si>
  <si>
    <t>0.830</t>
  </si>
  <si>
    <t>0.887</t>
  </si>
  <si>
    <t>0.360</t>
  </si>
  <si>
    <t>0.882</t>
  </si>
  <si>
    <t>0.947</t>
  </si>
  <si>
    <t>sl-EAT-all</t>
  </si>
  <si>
    <t>0.943</t>
  </si>
  <si>
    <t>0.428</t>
  </si>
  <si>
    <t>0.340</t>
  </si>
  <si>
    <t>0.188</t>
  </si>
  <si>
    <t>0.449</t>
  </si>
  <si>
    <t>0.681</t>
  </si>
  <si>
    <t>0.384</t>
  </si>
  <si>
    <t>0.314</t>
  </si>
  <si>
    <t>0.902</t>
  </si>
  <si>
    <t>0.168</t>
  </si>
  <si>
    <t>0.559</t>
  </si>
  <si>
    <t>0.978</t>
  </si>
  <si>
    <t>0.600</t>
  </si>
  <si>
    <t>0.794</t>
  </si>
  <si>
    <t>0.735</t>
  </si>
  <si>
    <t>0.337</t>
  </si>
  <si>
    <t>0.164</t>
  </si>
  <si>
    <t>0.795</t>
  </si>
  <si>
    <t xml:space="preserve"> </t>
  </si>
  <si>
    <t>Dataset Guide: Bats is the only non-species prediction task. HBDB is also highly out of domain. CBI and Watkins (birds classification, whale classification) are heavily related to the training data.</t>
  </si>
  <si>
    <t>Best SL</t>
  </si>
  <si>
    <t>Best SSL</t>
  </si>
  <si>
    <t>BirdMAE-base</t>
  </si>
  <si>
    <t>0.4735</t>
  </si>
  <si>
    <t>0.597</t>
  </si>
  <si>
    <t>0.979</t>
  </si>
  <si>
    <t>BirdMAE-huge</t>
  </si>
  <si>
    <t>0.623</t>
  </si>
  <si>
    <t>0.695</t>
  </si>
  <si>
    <t>0.484</t>
  </si>
  <si>
    <t>CLAP-all-captions</t>
  </si>
  <si>
    <t>0.318</t>
  </si>
  <si>
    <t>0.908</t>
  </si>
  <si>
    <t>0.738</t>
  </si>
  <si>
    <t>0.215</t>
  </si>
  <si>
    <t>0.120</t>
  </si>
  <si>
    <t>0.160</t>
  </si>
  <si>
    <t>0.735.0.241</t>
  </si>
  <si>
    <t>0.420</t>
  </si>
  <si>
    <t>CLAP-AnimalSpeak</t>
  </si>
  <si>
    <t>0.398</t>
  </si>
  <si>
    <t>0.223</t>
  </si>
  <si>
    <t>0.111</t>
  </si>
  <si>
    <t>0.410</t>
  </si>
  <si>
    <t>0.942</t>
  </si>
  <si>
    <t>0.463</t>
  </si>
  <si>
    <t>CLAP-AudioSetCaps</t>
  </si>
  <si>
    <t>EffNetB0-all-data</t>
  </si>
  <si>
    <t>EffNetB0-AnimalSpeak</t>
  </si>
  <si>
    <t>EffNetB0-AnimalSpeak-soundscape</t>
  </si>
  <si>
    <t>EffNetB0-AnimalSpeak-wabad</t>
  </si>
  <si>
    <t>sl_BEATS_animalspeak_v0</t>
  </si>
  <si>
    <t>sl_BEATS_all_v0</t>
  </si>
  <si>
    <t>sl_EAT_animalspeak_v0</t>
  </si>
  <si>
    <t>sl_EAT_all_v0</t>
  </si>
  <si>
    <t>0.955</t>
  </si>
  <si>
    <t>0.469</t>
  </si>
  <si>
    <t>0.573</t>
  </si>
  <si>
    <t>0.821</t>
  </si>
  <si>
    <t>0.869</t>
  </si>
  <si>
    <t>0.042</t>
  </si>
  <si>
    <t>0.924</t>
  </si>
  <si>
    <t>0.818</t>
  </si>
  <si>
    <t>0.980</t>
  </si>
  <si>
    <t>0.047</t>
  </si>
  <si>
    <t>0.109</t>
  </si>
  <si>
    <t>0.050</t>
  </si>
  <si>
    <t>0.748</t>
  </si>
  <si>
    <t>0.550</t>
  </si>
  <si>
    <t>0.065</t>
  </si>
  <si>
    <t>0.282</t>
  </si>
  <si>
    <t>0.796</t>
  </si>
  <si>
    <t>0.374</t>
  </si>
  <si>
    <t>0.181</t>
  </si>
  <si>
    <t>0.195</t>
  </si>
  <si>
    <t>0.496</t>
  </si>
  <si>
    <t>0.086</t>
  </si>
  <si>
    <t>0.113</t>
  </si>
  <si>
    <t>0.990</t>
  </si>
  <si>
    <t>0.876</t>
  </si>
  <si>
    <t>0.844</t>
  </si>
  <si>
    <t>0.167</t>
  </si>
  <si>
    <t>0.831</t>
  </si>
  <si>
    <t>0.456</t>
  </si>
  <si>
    <t>0.494</t>
  </si>
  <si>
    <t>0.987</t>
  </si>
  <si>
    <t>0.803</t>
  </si>
  <si>
    <t>0.785</t>
  </si>
  <si>
    <t>0.497</t>
  </si>
  <si>
    <t>0.084</t>
  </si>
  <si>
    <t>0.953</t>
  </si>
  <si>
    <t>0.570</t>
  </si>
  <si>
    <t>0.299</t>
  </si>
  <si>
    <t>0.146</t>
  </si>
  <si>
    <t>0.975</t>
  </si>
  <si>
    <t>0.960</t>
  </si>
  <si>
    <t>0.936</t>
  </si>
  <si>
    <t>0.117</t>
  </si>
  <si>
    <t>0.606</t>
  </si>
  <si>
    <t>0.935</t>
  </si>
  <si>
    <t>0.325</t>
  </si>
  <si>
    <t>0.824</t>
  </si>
  <si>
    <t>0.263</t>
  </si>
  <si>
    <t>0.102</t>
  </si>
  <si>
    <t>0.505</t>
  </si>
  <si>
    <t>0.485</t>
  </si>
  <si>
    <t>0.327</t>
  </si>
  <si>
    <t>0.217</t>
  </si>
  <si>
    <t>0.414</t>
  </si>
  <si>
    <t>0.134</t>
  </si>
  <si>
    <t>0.534</t>
  </si>
  <si>
    <t>0.094</t>
  </si>
  <si>
    <t>0.650</t>
  </si>
  <si>
    <t>0.268</t>
  </si>
  <si>
    <t>0.476</t>
  </si>
  <si>
    <t>0.319</t>
  </si>
  <si>
    <t>0.65</t>
  </si>
  <si>
    <t>0.88</t>
  </si>
  <si>
    <t>0.1</t>
  </si>
  <si>
    <t>0.480</t>
  </si>
  <si>
    <t>0.057</t>
  </si>
  <si>
    <t>0.099</t>
  </si>
  <si>
    <t>0.320</t>
  </si>
  <si>
    <t>0.180</t>
  </si>
  <si>
    <t>0.150</t>
  </si>
  <si>
    <t>0.444</t>
  </si>
  <si>
    <t>0.995</t>
  </si>
  <si>
    <t>0.076</t>
  </si>
  <si>
    <t>0.812</t>
  </si>
  <si>
    <t>0.533</t>
  </si>
  <si>
    <t>0.682</t>
  </si>
  <si>
    <t>0.357</t>
  </si>
  <si>
    <r>
      <rPr>
        <rFont val="Calibri"/>
        <b/>
        <color theme="1"/>
      </rPr>
      <t>Metrics</t>
    </r>
    <r>
      <rPr>
        <rFont val="Calibri"/>
        <color theme="1"/>
      </rPr>
      <t>: Accuracy is used for classification via linear probe, mAP for linear probe detection. Metrics for retrieval are written as ROC-AUC / P@1. For clustering we report normalized mutual information/adjusted rand index</t>
    </r>
  </si>
  <si>
    <r>
      <rPr>
        <rFont val="Calibri"/>
        <b/>
        <color theme="1"/>
      </rPr>
      <t>Colors</t>
    </r>
    <r>
      <rPr>
        <rFont val="Calibri"/>
        <color theme="1"/>
      </rPr>
      <t>: grey means not ready. Pink = sus</t>
    </r>
  </si>
  <si>
    <t>giant-otters</t>
  </si>
  <si>
    <t>retrieval</t>
  </si>
  <si>
    <t>clustering</t>
  </si>
  <si>
    <t>retrieval-cross</t>
  </si>
  <si>
    <t>0.775/0.664</t>
  </si>
  <si>
    <t>0.610/0.259</t>
  </si>
  <si>
    <t>0.710/0.285</t>
  </si>
  <si>
    <t>0.567/0.056</t>
  </si>
  <si>
    <t>0.702/0.678</t>
  </si>
  <si>
    <t>0.391/0.210</t>
  </si>
  <si>
    <t>0.614/0.431</t>
  </si>
  <si>
    <t>0.184/0.105</t>
  </si>
  <si>
    <t>0.647/0.669</t>
  </si>
  <si>
    <t>0.350/0.125</t>
  </si>
  <si>
    <t>0.984/0.945</t>
  </si>
  <si>
    <t>0.921/0.773</t>
  </si>
  <si>
    <t>0.643/0.900</t>
  </si>
  <si>
    <t>0.713/0.300</t>
  </si>
  <si>
    <t>0.584/0.509</t>
  </si>
  <si>
    <t>0.673/0.691</t>
  </si>
  <si>
    <t>0.847/0.698</t>
  </si>
  <si>
    <t>0.654/0.970</t>
  </si>
  <si>
    <t>0.642/0.865</t>
  </si>
  <si>
    <t>0.726/0.705</t>
  </si>
  <si>
    <t>0.649/0.636</t>
  </si>
  <si>
    <t>0.625/0.746</t>
  </si>
  <si>
    <t>0.773/0.687</t>
  </si>
  <si>
    <t>0.471/0.232</t>
  </si>
  <si>
    <t>0.651/0.779</t>
  </si>
  <si>
    <t>0.295/0.131</t>
  </si>
  <si>
    <t>0.815/0.519</t>
  </si>
  <si>
    <t>0.545/0.237</t>
  </si>
  <si>
    <t>0.898/0.921</t>
  </si>
  <si>
    <t>0.742/0.622</t>
  </si>
  <si>
    <t>0.835/0.955</t>
  </si>
  <si>
    <t>0.469/0.128</t>
  </si>
  <si>
    <t>0.725/0.573</t>
  </si>
  <si>
    <t>0.885/0.931</t>
  </si>
  <si>
    <t>0.662/0.300</t>
  </si>
  <si>
    <t>0.745/0.587</t>
  </si>
  <si>
    <t>0.821/0.869</t>
  </si>
  <si>
    <t>0.499/0.042</t>
  </si>
  <si>
    <t>0.645/0.545</t>
  </si>
  <si>
    <t>0.775/0.909</t>
  </si>
  <si>
    <t>0.443/0.342</t>
  </si>
  <si>
    <t>0.806/0.791</t>
  </si>
  <si>
    <t>0.694/0.368</t>
  </si>
  <si>
    <t>0.679/0.272</t>
  </si>
  <si>
    <t>0.564/0.046</t>
  </si>
  <si>
    <t>0.702/0.718</t>
  </si>
  <si>
    <t>0.635/0.517</t>
  </si>
  <si>
    <t>0.191/0.096</t>
  </si>
  <si>
    <t>0.666/0.691</t>
  </si>
  <si>
    <t>0.427/0.191</t>
  </si>
  <si>
    <t>0.917/0.890</t>
  </si>
  <si>
    <t>0.813/0.481</t>
  </si>
  <si>
    <t>0.678/0.938</t>
  </si>
  <si>
    <t>0.720/0.328</t>
  </si>
  <si>
    <t>0.627/0.501</t>
  </si>
  <si>
    <t>0.686/0.761</t>
  </si>
  <si>
    <t>0.897/0.743</t>
  </si>
  <si>
    <t>0.703/0.977</t>
  </si>
  <si>
    <t>0.649/0.898</t>
  </si>
  <si>
    <t>0.731/0.734</t>
  </si>
  <si>
    <t>0.648/0.666</t>
  </si>
  <si>
    <t>0.568/0.742</t>
  </si>
  <si>
    <t>0.751/0.852</t>
  </si>
  <si>
    <t>0.811/0.761</t>
  </si>
  <si>
    <t>0.540/0.362</t>
  </si>
  <si>
    <t>0.707/0.856</t>
  </si>
  <si>
    <t>0.352/0.218</t>
  </si>
  <si>
    <t>0.848/0.571</t>
  </si>
  <si>
    <t>0.577/0.224</t>
  </si>
  <si>
    <t>0.848/0.927</t>
  </si>
  <si>
    <r>
      <rPr>
        <rFont val="Arial"/>
        <b/>
        <color theme="1"/>
      </rPr>
      <t>0.924</t>
    </r>
    <r>
      <rPr>
        <rFont val="Arial"/>
        <color theme="1"/>
      </rPr>
      <t>/0.985</t>
    </r>
  </si>
  <si>
    <t>0.530/0.078</t>
  </si>
  <si>
    <t>0.891/0.818</t>
  </si>
  <si>
    <t>0.929/0.980</t>
  </si>
  <si>
    <t>0.701/0.335</t>
  </si>
  <si>
    <t>0.875/0.749</t>
  </si>
  <si>
    <t>0.845/0.933</t>
  </si>
  <si>
    <t>0.490/0.047</t>
  </si>
  <si>
    <t>0.697/0.559</t>
  </si>
  <si>
    <t>0.827/0.931</t>
  </si>
  <si>
    <t>0.640/0.590</t>
  </si>
  <si>
    <t>0.692/0.727</t>
  </si>
  <si>
    <t>0.465/0.253</t>
  </si>
  <si>
    <t>0.582/0.4735</t>
  </si>
  <si>
    <t>0.597/0.532</t>
  </si>
  <si>
    <t>0.951/0.838</t>
  </si>
  <si>
    <t>0.688/0.979</t>
  </si>
  <si>
    <t>0.623/0.228</t>
  </si>
  <si>
    <t>0.695/0.721</t>
  </si>
  <si>
    <t>0.820/0.688</t>
  </si>
  <si>
    <t>0.681/0.248</t>
  </si>
  <si>
    <t>0.656/0.907</t>
  </si>
  <si>
    <t>0.690/0.330</t>
  </si>
  <si>
    <t>0.744/0.672</t>
  </si>
  <si>
    <t>0.585/0.216</t>
  </si>
  <si>
    <t>0.617/0.158</t>
  </si>
  <si>
    <t>0.502/0.017</t>
  </si>
  <si>
    <t>0.630/0.722</t>
  </si>
  <si>
    <t>0.482/0.279</t>
  </si>
  <si>
    <t>0.588/0.45</t>
  </si>
  <si>
    <t>0.125/0.066</t>
  </si>
  <si>
    <t>0.585/0.460</t>
  </si>
  <si>
    <t>0.194/0.033</t>
  </si>
  <si>
    <t>0.884/0.723</t>
  </si>
  <si>
    <t>0.655/0.206</t>
  </si>
  <si>
    <t>0.631/0.899</t>
  </si>
  <si>
    <t>0.706/0.306</t>
  </si>
  <si>
    <t>0.564/0.572</t>
  </si>
  <si>
    <t>0.660/0.625</t>
  </si>
  <si>
    <t>0.899/0.657</t>
  </si>
  <si>
    <t>0.658/0.966</t>
  </si>
  <si>
    <t>0.621/0.877</t>
  </si>
  <si>
    <t>0.712/0.693</t>
  </si>
  <si>
    <t>0.627/0.564</t>
  </si>
  <si>
    <t>0.548/0.602</t>
  </si>
  <si>
    <t>0.788/0.825</t>
  </si>
  <si>
    <t>0.465/0.226</t>
  </si>
  <si>
    <t>0.684/0.890</t>
  </si>
  <si>
    <t>0.231/0.071</t>
  </si>
  <si>
    <t>0.788/0.546</t>
  </si>
  <si>
    <t>0.503/0.173</t>
  </si>
  <si>
    <t>0.974/0.992</t>
  </si>
  <si>
    <t>0.611/0.750</t>
  </si>
  <si>
    <t>0.535/0.109</t>
  </si>
  <si>
    <t>0.211/0.050</t>
  </si>
  <si>
    <t>0.891/0.934</t>
  </si>
  <si>
    <t>0.679/0.240</t>
  </si>
  <si>
    <t>0.748/0.550</t>
  </si>
  <si>
    <t>0.676/0.827</t>
  </si>
  <si>
    <t>0.473/0.065</t>
  </si>
  <si>
    <t>0.282/0.149</t>
  </si>
  <si>
    <t>0.804/0.949</t>
  </si>
  <si>
    <t>0.412/0.265</t>
  </si>
  <si>
    <t>0.808/0.702</t>
  </si>
  <si>
    <t>0.613/0.257</t>
  </si>
  <si>
    <t>0.714/0.280</t>
  </si>
  <si>
    <t>0.558/0.049</t>
  </si>
  <si>
    <t>0.686/0.691</t>
  </si>
  <si>
    <t>0.328/0.104</t>
  </si>
  <si>
    <t>0.631/.461</t>
  </si>
  <si>
    <t>0.216/0.135</t>
  </si>
  <si>
    <t>0.659/0.669</t>
  </si>
  <si>
    <t>0.992/0.945</t>
  </si>
  <si>
    <t>0.938/0.771</t>
  </si>
  <si>
    <t>0.672/0.920</t>
  </si>
  <si>
    <t>0.709/0.287</t>
  </si>
  <si>
    <t>0.699/0.736</t>
  </si>
  <si>
    <t>0.904/0.760</t>
  </si>
  <si>
    <t>0.649/0.976</t>
  </si>
  <si>
    <t>0.634/0.879</t>
  </si>
  <si>
    <t>0.745/0.749</t>
  </si>
  <si>
    <t>0.651/0.694</t>
  </si>
  <si>
    <t>0.585/0.732</t>
  </si>
  <si>
    <t>0.832/0.836</t>
  </si>
  <si>
    <t>0.543/0.339</t>
  </si>
  <si>
    <r>
      <rPr>
        <rFont val="Calibri"/>
        <color theme="1"/>
      </rPr>
      <t>0.857/</t>
    </r>
    <r>
      <rPr>
        <rFont val="Calibri"/>
        <b/>
        <color theme="1"/>
      </rPr>
      <t>0.955</t>
    </r>
  </si>
  <si>
    <r>
      <rPr>
        <rFont val="Calibri"/>
        <b/>
        <color theme="1"/>
      </rPr>
      <t>0.742</t>
    </r>
    <r>
      <rPr>
        <rFont val="Calibri"/>
        <b val="0"/>
        <color theme="1"/>
      </rPr>
      <t>/0.894</t>
    </r>
  </si>
  <si>
    <t>0.341/0.239</t>
  </si>
  <si>
    <t>0.971/0.979</t>
  </si>
  <si>
    <t>0.855/0.562</t>
  </si>
  <si>
    <r>
      <rPr>
        <rFont val="Calibri"/>
        <b/>
        <color theme="1"/>
      </rPr>
      <t>0.591/</t>
    </r>
    <r>
      <rPr>
        <rFont val="Calibri"/>
        <b val="0"/>
        <color theme="1"/>
      </rPr>
      <t>0.274</t>
    </r>
  </si>
  <si>
    <t>0.984/0.988</t>
  </si>
  <si>
    <t>0.796/0.875</t>
  </si>
  <si>
    <t>0.508/0.125</t>
  </si>
  <si>
    <t>0.580/0.369</t>
  </si>
  <si>
    <t>0.896/0.968</t>
  </si>
  <si>
    <t>0.713/0.312</t>
  </si>
  <si>
    <t>0.809/0.670</t>
  </si>
  <si>
    <t>0.790/0.875</t>
  </si>
  <si>
    <t>0.458/0.039</t>
  </si>
  <si>
    <t>0.558/0.374</t>
  </si>
  <si>
    <t>0.848/0.959</t>
  </si>
  <si>
    <t>0.639/0.595</t>
  </si>
  <si>
    <t>0.703/0.667</t>
  </si>
  <si>
    <t>0.556/0.184</t>
  </si>
  <si>
    <t>0.613/0.179</t>
  </si>
  <si>
    <t>0.521/0.023</t>
  </si>
  <si>
    <t>0.594/0.727</t>
  </si>
  <si>
    <t>0.435/0.197</t>
  </si>
  <si>
    <t>0.593/0.396</t>
  </si>
  <si>
    <t>0.091/0.037</t>
  </si>
  <si>
    <t>0.585/0.453</t>
  </si>
  <si>
    <t>0.233/0.051</t>
  </si>
  <si>
    <t>0.791/0.527</t>
  </si>
  <si>
    <t>0.624/0.172</t>
  </si>
  <si>
    <t>0.646/0.909</t>
  </si>
  <si>
    <t>0.612/0.764</t>
  </si>
  <si>
    <t>0.626/0.652</t>
  </si>
  <si>
    <t>0.850/0.553</t>
  </si>
  <si>
    <t>0.679/0.973</t>
  </si>
  <si>
    <t>0.615/0.885</t>
  </si>
  <si>
    <t>0.755/0.732</t>
  </si>
  <si>
    <t>0.631/0.601</t>
  </si>
  <si>
    <t>0.556/0.631</t>
  </si>
  <si>
    <t>0.757/0.654</t>
  </si>
  <si>
    <t>0.436/0.289</t>
  </si>
  <si>
    <t>0.660/0.755</t>
  </si>
  <si>
    <t>0.253/0.171</t>
  </si>
  <si>
    <t>0.751/0.461</t>
  </si>
  <si>
    <t>0.484/0.142</t>
  </si>
  <si>
    <t>0.684/0.825</t>
  </si>
  <si>
    <t>0.514/0.106</t>
  </si>
  <si>
    <t>0.374/0.181</t>
  </si>
  <si>
    <t>0.875/0.943</t>
  </si>
  <si>
    <t>0.641/0.195</t>
  </si>
  <si>
    <t>0.794/0.656</t>
  </si>
  <si>
    <t>0.654/0.738</t>
  </si>
  <si>
    <t>0.496/0.086</t>
  </si>
  <si>
    <t>0.243/0.113</t>
  </si>
  <si>
    <t>0.840/0.933</t>
  </si>
  <si>
    <t>0.609/0.542</t>
  </si>
  <si>
    <t>0.872/0.852</t>
  </si>
  <si>
    <t>0.761/0.506</t>
  </si>
  <si>
    <t>0.756/0.348</t>
  </si>
  <si>
    <t>0.586/0.068</t>
  </si>
  <si>
    <r>
      <rPr>
        <rFont val="Calibri"/>
        <b val="0"/>
        <color theme="1"/>
      </rPr>
      <t>0.731</t>
    </r>
    <r>
      <rPr>
        <rFont val="Calibri"/>
        <b/>
        <color theme="1"/>
      </rPr>
      <t>/0.724</t>
    </r>
  </si>
  <si>
    <t>0.503/0.243</t>
  </si>
  <si>
    <r>
      <rPr>
        <rFont val="Calibri"/>
        <b val="0"/>
        <color theme="1"/>
      </rPr>
      <t>0.648</t>
    </r>
    <r>
      <rPr>
        <rFont val="Calibri"/>
        <b/>
        <color theme="1"/>
      </rPr>
      <t>/0.548</t>
    </r>
  </si>
  <si>
    <t>0.274/0.158</t>
  </si>
  <si>
    <t>0.684/0.712</t>
  </si>
  <si>
    <t>0.436/0.187</t>
  </si>
  <si>
    <t>0.798/0.468</t>
  </si>
  <si>
    <r>
      <rPr>
        <rFont val="Calibri"/>
        <b/>
        <color theme="1"/>
      </rPr>
      <t>0.714/</t>
    </r>
    <r>
      <rPr>
        <rFont val="Calibri"/>
        <b val="0"/>
        <color theme="1"/>
      </rPr>
      <t>0.956</t>
    </r>
  </si>
  <si>
    <t>0.764/0.345</t>
  </si>
  <si>
    <t>0.624/0.522</t>
  </si>
  <si>
    <t>0.627/0.732</t>
  </si>
  <si>
    <t>0.893/0.752</t>
  </si>
  <si>
    <r>
      <rPr>
        <rFont val="Calibri"/>
        <b/>
        <color theme="1"/>
      </rPr>
      <t>0.722/</t>
    </r>
    <r>
      <rPr>
        <rFont val="Calibri"/>
        <b val="0"/>
        <color theme="1"/>
      </rPr>
      <t>0.988</t>
    </r>
  </si>
  <si>
    <t>0.690/0.914</t>
  </si>
  <si>
    <r>
      <rPr>
        <rFont val="Calibri"/>
        <b val="0"/>
        <color theme="1"/>
      </rPr>
      <t>0.819</t>
    </r>
    <r>
      <rPr>
        <rFont val="Calibri"/>
        <b/>
        <color theme="1"/>
      </rPr>
      <t>/</t>
    </r>
    <r>
      <rPr>
        <rFont val="Calibri"/>
        <b val="0"/>
        <color theme="1"/>
      </rPr>
      <t>0.774</t>
    </r>
  </si>
  <si>
    <t>0.708/0.787</t>
  </si>
  <si>
    <t>0.574/0.776</t>
  </si>
  <si>
    <r>
      <rPr>
        <rFont val="Calibri"/>
        <b val="0"/>
        <color theme="1"/>
      </rPr>
      <t>0.841</t>
    </r>
    <r>
      <rPr>
        <rFont val="Calibri"/>
        <b/>
        <color theme="1"/>
      </rPr>
      <t>/</t>
    </r>
    <r>
      <rPr>
        <rFont val="Calibri"/>
        <b val="0"/>
        <color theme="1"/>
      </rPr>
      <t>0.778</t>
    </r>
  </si>
  <si>
    <t>0.576/0.355</t>
  </si>
  <si>
    <t>0.704/0.872</t>
  </si>
  <si>
    <r>
      <rPr>
        <rFont val="Calibri"/>
        <color theme="1"/>
      </rPr>
      <t>0.351/</t>
    </r>
    <r>
      <rPr>
        <rFont val="Calibri"/>
        <b/>
        <color theme="1"/>
      </rPr>
      <t>0.267</t>
    </r>
  </si>
  <si>
    <r>
      <rPr>
        <rFont val="Calibri"/>
        <b/>
        <color theme="1"/>
      </rPr>
      <t>0.862/</t>
    </r>
    <r>
      <rPr>
        <rFont val="Calibri"/>
        <b val="0"/>
        <color theme="1"/>
      </rPr>
      <t>0.627</t>
    </r>
  </si>
  <si>
    <t>0.586/0.240</t>
  </si>
  <si>
    <t>0.943/0.910</t>
  </si>
  <si>
    <r>
      <rPr>
        <rFont val="Arial"/>
        <b val="0"/>
        <color theme="1"/>
      </rPr>
      <t>0.916</t>
    </r>
    <r>
      <rPr>
        <rFont val="Arial"/>
        <b/>
        <color theme="1"/>
      </rPr>
      <t>/0.990</t>
    </r>
  </si>
  <si>
    <t>0.488/0.103</t>
  </si>
  <si>
    <t>0.921/0.876</t>
  </si>
  <si>
    <t>0.942/0.980</t>
  </si>
  <si>
    <t>0.712/0.368</t>
  </si>
  <si>
    <t>0.931/0.849</t>
  </si>
  <si>
    <t>0.844/0.952</t>
  </si>
  <si>
    <t>0.527/0.167</t>
  </si>
  <si>
    <t>0.706/0.582</t>
  </si>
  <si>
    <t>0.857/0.951</t>
  </si>
  <si>
    <t>0.672/0.627</t>
  </si>
  <si>
    <t>0.826/0.705</t>
  </si>
  <si>
    <t>0.616/0.219</t>
  </si>
  <si>
    <t>0.835/0.660</t>
  </si>
  <si>
    <t>0.661/0.125</t>
  </si>
  <si>
    <t>0.734/0.722</t>
  </si>
  <si>
    <t>0.488/0.255</t>
  </si>
  <si>
    <t>0.655/0.528</t>
  </si>
  <si>
    <t>0.225/0.123</t>
  </si>
  <si>
    <t>0.704/0.791</t>
  </si>
  <si>
    <t>0.490/0.230</t>
  </si>
  <si>
    <t>0.878/0.713</t>
  </si>
  <si>
    <t>0.660/0.200</t>
  </si>
  <si>
    <t>0.743/0.961</t>
  </si>
  <si>
    <t>0.747/0.256</t>
  </si>
  <si>
    <t>0.532/0.499</t>
  </si>
  <si>
    <t>0.584/0.593</t>
  </si>
  <si>
    <t>0.827/0.691</t>
  </si>
  <si>
    <t>0.709/0.968</t>
  </si>
  <si>
    <t>0.659/0.877</t>
  </si>
  <si>
    <t>0.772/0.683</t>
  </si>
  <si>
    <t>0.685/0.683</t>
  </si>
  <si>
    <t>0.512/0.488</t>
  </si>
  <si>
    <t>0.827/0.807</t>
  </si>
  <si>
    <t>0.564/0.330</t>
  </si>
  <si>
    <t>0.707/0.879</t>
  </si>
  <si>
    <t>0.378/0.165</t>
  </si>
  <si>
    <t>0.798/0.575</t>
  </si>
  <si>
    <t>0.539/0.233</t>
  </si>
  <si>
    <t>0.862/0.985</t>
  </si>
  <si>
    <t>0.555/0.119</t>
  </si>
  <si>
    <t>0.831/0.721</t>
  </si>
  <si>
    <t>0.968/0.988</t>
  </si>
  <si>
    <t>0.798/0.456</t>
  </si>
  <si>
    <t>0.933/0.865</t>
  </si>
  <si>
    <t>0.751/0.920</t>
  </si>
  <si>
    <t>0.561/0.284</t>
  </si>
  <si>
    <t>0.494/0.286</t>
  </si>
  <si>
    <t>0.916/0.938</t>
  </si>
  <si>
    <t>0.693/0.609</t>
  </si>
  <si>
    <t>0.780/0.587</t>
  </si>
  <si>
    <t>0.565/0.183</t>
  </si>
  <si>
    <t>0.868/0.715</t>
  </si>
  <si>
    <t>0.669/0.127</t>
  </si>
  <si>
    <t>0.611/0.551</t>
  </si>
  <si>
    <t>0.187/0.071</t>
  </si>
  <si>
    <t>0.627/0.387</t>
  </si>
  <si>
    <t>0.185/0.106</t>
  </si>
  <si>
    <r>
      <rPr>
        <rFont val="Calibri"/>
        <b val="0"/>
        <color theme="1"/>
      </rPr>
      <t>0.758</t>
    </r>
    <r>
      <rPr>
        <rFont val="Calibri"/>
        <b/>
        <color theme="1"/>
      </rPr>
      <t>/0.834</t>
    </r>
  </si>
  <si>
    <t>0.556/0.358</t>
  </si>
  <si>
    <t>0.907/0.790</t>
  </si>
  <si>
    <t>0.703/0.230</t>
  </si>
  <si>
    <t>0.643/0.932</t>
  </si>
  <si>
    <r>
      <rPr>
        <rFont val="Calibri"/>
        <b/>
        <color theme="1"/>
      </rPr>
      <t>0.783</t>
    </r>
    <r>
      <rPr>
        <rFont val="Calibri"/>
        <color theme="1"/>
      </rPr>
      <t>/0.291</t>
    </r>
  </si>
  <si>
    <t>0.530/0.451</t>
  </si>
  <si>
    <t>0.622/0.698</t>
  </si>
  <si>
    <t>0.792/0.637</t>
  </si>
  <si>
    <t>0.686/0.987</t>
  </si>
  <si>
    <t>0.626/0.884</t>
  </si>
  <si>
    <r>
      <rPr>
        <rFont val="Calibri"/>
        <color theme="1"/>
      </rPr>
      <t>0.803/</t>
    </r>
    <r>
      <rPr>
        <rFont val="Calibri"/>
        <b/>
        <color theme="1"/>
      </rPr>
      <t>0.809</t>
    </r>
  </si>
  <si>
    <t>0.595/0.568</t>
  </si>
  <si>
    <t>0.811/0.845</t>
  </si>
  <si>
    <t>0.547/0.335</t>
  </si>
  <si>
    <t>0.657/0.892</t>
  </si>
  <si>
    <t>0.284/0.149</t>
  </si>
  <si>
    <r>
      <rPr>
        <rFont val="Calibri"/>
        <color theme="1"/>
      </rPr>
      <t>0.854/</t>
    </r>
    <r>
      <rPr>
        <rFont val="Calibri"/>
        <b/>
        <color theme="1"/>
      </rPr>
      <t>0.645</t>
    </r>
  </si>
  <si>
    <r>
      <rPr>
        <rFont val="Calibri"/>
        <color theme="1"/>
      </rPr>
      <t>0.585/</t>
    </r>
    <r>
      <rPr>
        <rFont val="Calibri"/>
        <b/>
        <color theme="1"/>
      </rPr>
      <t>0.277</t>
    </r>
  </si>
  <si>
    <t>0.959/0.996</t>
  </si>
  <si>
    <t>0.785/0.890</t>
  </si>
  <si>
    <t>0.497/0.084</t>
  </si>
  <si>
    <t>0.673/0.449</t>
  </si>
  <si>
    <t>0.953/0.980</t>
  </si>
  <si>
    <t>0.843/0.568</t>
  </si>
  <si>
    <t>0.892/0.792</t>
  </si>
  <si>
    <t>0.695/0.834</t>
  </si>
  <si>
    <t>0.570/0.299</t>
  </si>
  <si>
    <t>0.322/0.146</t>
  </si>
  <si>
    <t>0.904/0.949</t>
  </si>
  <si>
    <t>0.720/0.663</t>
  </si>
  <si>
    <t>EffNetB0</t>
  </si>
  <si>
    <t>0.862/0.66</t>
  </si>
  <si>
    <t>HOLD</t>
  </si>
  <si>
    <t>0.863/0.660</t>
  </si>
  <si>
    <t>0.640/0.609</t>
  </si>
  <si>
    <t>0.619/0.311</t>
  </si>
  <si>
    <t>0.729/0.770</t>
  </si>
  <si>
    <t>0.577/0.878</t>
  </si>
  <si>
    <t>0.751/0.543</t>
  </si>
  <si>
    <t>0.582/0.582</t>
  </si>
  <si>
    <t>0.633/0.645</t>
  </si>
  <si>
    <t>0.701/0.481</t>
  </si>
  <si>
    <t>0.694/0.971</t>
  </si>
  <si>
    <t>0.89/0.696</t>
  </si>
  <si>
    <t>0.802/0.787</t>
  </si>
  <si>
    <t>0.477/0.256</t>
  </si>
  <si>
    <t>0.932/889</t>
  </si>
  <si>
    <t>0.648/0.859</t>
  </si>
  <si>
    <t>0.281/0.155</t>
  </si>
  <si>
    <t>0.853/0.593</t>
  </si>
  <si>
    <t>0.551/0.217</t>
  </si>
  <si>
    <t>0.724/0.541</t>
  </si>
  <si>
    <t>0.927/0.966</t>
  </si>
  <si>
    <t>0.801/0.641</t>
  </si>
  <si>
    <t>0.640/802</t>
  </si>
  <si>
    <t>0.280/0.115</t>
  </si>
  <si>
    <t>EffNetB0-48khz</t>
  </si>
  <si>
    <t>EffNetB1-48khz</t>
  </si>
  <si>
    <t>0.829/0.640</t>
  </si>
  <si>
    <t>0.802/0.567</t>
  </si>
  <si>
    <t>0.649/0.677</t>
  </si>
  <si>
    <t>0.615/0.386</t>
  </si>
  <si>
    <t>0.692/0.712</t>
  </si>
  <si>
    <t>0.682/0.936</t>
  </si>
  <si>
    <t>0.741/0.517</t>
  </si>
  <si>
    <t>EffNetB0-multilabel</t>
  </si>
  <si>
    <t>0.786/0.655</t>
  </si>
  <si>
    <t>0.877/0.655</t>
  </si>
  <si>
    <t>0.619/0.585</t>
  </si>
  <si>
    <t>0.621/0.296</t>
  </si>
  <si>
    <t>0.730/0.741</t>
  </si>
  <si>
    <t>0.531/0.292</t>
  </si>
  <si>
    <t>0.899/0.817</t>
  </si>
  <si>
    <t>0.723/0.415</t>
  </si>
  <si>
    <t>0.910/0.741</t>
  </si>
  <si>
    <t>0.772/0.341</t>
  </si>
  <si>
    <t>0.710/0.660</t>
  </si>
  <si>
    <t>0.436/0.286</t>
  </si>
  <si>
    <t>0.645/0.461</t>
  </si>
  <si>
    <t>0.226/0.129</t>
  </si>
  <si>
    <t>0.762/0.806</t>
  </si>
  <si>
    <t>0.579/0.338</t>
  </si>
  <si>
    <t>0.930/0.780</t>
  </si>
  <si>
    <t>0.770/0.396</t>
  </si>
  <si>
    <t>0.692/0.944</t>
  </si>
  <si>
    <t>0.736/0.241</t>
  </si>
  <si>
    <t>0.555/0.425</t>
  </si>
  <si>
    <t>0.678/0.725</t>
  </si>
  <si>
    <t>0.901/0.742</t>
  </si>
  <si>
    <r>
      <rPr>
        <rFont val="Calibri"/>
        <color theme="1"/>
      </rPr>
      <t>0.719/</t>
    </r>
    <r>
      <rPr>
        <rFont val="Calibri"/>
        <b/>
        <color theme="1"/>
      </rPr>
      <t>0.99</t>
    </r>
  </si>
  <si>
    <t>0.616/0.858</t>
  </si>
  <si>
    <r>
      <rPr>
        <rFont val="Calibri"/>
        <b/>
        <color theme="1"/>
      </rPr>
      <t>0.845</t>
    </r>
    <r>
      <rPr>
        <rFont val="Calibri"/>
        <color theme="1"/>
      </rPr>
      <t>/0.777</t>
    </r>
  </si>
  <si>
    <t>0.727/0.772</t>
  </si>
  <si>
    <t>0.525/0.798</t>
  </si>
  <si>
    <r>
      <rPr>
        <rFont val="Calibri"/>
        <b/>
        <color theme="1"/>
      </rPr>
      <t>0.848</t>
    </r>
    <r>
      <rPr>
        <rFont val="Calibri"/>
        <b/>
        <color theme="1"/>
      </rPr>
      <t>/0.849</t>
    </r>
  </si>
  <si>
    <t>0.615/0.416</t>
  </si>
  <si>
    <t>0.742/0.905</t>
  </si>
  <si>
    <r>
      <rPr>
        <rFont val="Calibri"/>
        <b/>
        <color theme="1"/>
      </rPr>
      <t>0.381</t>
    </r>
    <r>
      <rPr>
        <rFont val="Calibri"/>
        <color theme="1"/>
      </rPr>
      <t>/0.228</t>
    </r>
  </si>
  <si>
    <t>0.842/0.609</t>
  </si>
  <si>
    <t>0.582/0.265</t>
  </si>
  <si>
    <t>0.987/0.992</t>
  </si>
  <si>
    <t>0.921/0.771</t>
  </si>
  <si>
    <t>0.782/0.915</t>
  </si>
  <si>
    <t>0.519/0.153</t>
  </si>
  <si>
    <t>0.570/0.333</t>
  </si>
  <si>
    <t>0.955/0.975</t>
  </si>
  <si>
    <t>0.773/0.410</t>
  </si>
  <si>
    <t>0.960/0.936</t>
  </si>
  <si>
    <t>0.646/0.850</t>
  </si>
  <si>
    <t>0.546/0.228</t>
  </si>
  <si>
    <t>0.256/0.117</t>
  </si>
  <si>
    <t>0.915/0.954</t>
  </si>
  <si>
    <t>0.757/0.720</t>
  </si>
  <si>
    <r>
      <rPr>
        <rFont val="Calibri"/>
        <color theme="1"/>
      </rPr>
      <t>0.894/</t>
    </r>
    <r>
      <rPr>
        <rFont val="Calibri"/>
        <b/>
        <color theme="1"/>
      </rPr>
      <t>0.920</t>
    </r>
  </si>
  <si>
    <t>0.762/0.477</t>
  </si>
  <si>
    <t>0.912/0.744</t>
  </si>
  <si>
    <t>0.768/0.346</t>
  </si>
  <si>
    <t>0.693/0.683</t>
  </si>
  <si>
    <t>0.395/0.185</t>
  </si>
  <si>
    <t>0.639/0.452</t>
  </si>
  <si>
    <t>0.214/0.126</t>
  </si>
  <si>
    <r>
      <rPr>
        <rFont val="Calibri"/>
        <b/>
        <color theme="1"/>
      </rPr>
      <t>0.764</t>
    </r>
    <r>
      <rPr>
        <rFont val="Calibri"/>
        <color theme="1"/>
      </rPr>
      <t>/0.813</t>
    </r>
  </si>
  <si>
    <t>0.539/0.286</t>
  </si>
  <si>
    <t>0.894/0.698</t>
  </si>
  <si>
    <t>0.702/0.279</t>
  </si>
  <si>
    <t>0.701/0.930</t>
  </si>
  <si>
    <t>0.732/0.265</t>
  </si>
  <si>
    <t>0.521/0.478</t>
  </si>
  <si>
    <t>0.643/0.686</t>
  </si>
  <si>
    <t>0.879/0.739</t>
  </si>
  <si>
    <t>0.717/0.985</t>
  </si>
  <si>
    <t>0.621/0.846</t>
  </si>
  <si>
    <t>0.832/0.762</t>
  </si>
  <si>
    <t>0.717/0.744</t>
  </si>
  <si>
    <t>0.544/0.784</t>
  </si>
  <si>
    <t>0.738/0.838</t>
  </si>
  <si>
    <t>0.843/0.787</t>
  </si>
  <si>
    <r>
      <rPr>
        <rFont val="Calibri"/>
        <color theme="1"/>
      </rPr>
      <t>0.640/</t>
    </r>
    <r>
      <rPr>
        <rFont val="Calibri"/>
        <b/>
        <color theme="1"/>
      </rPr>
      <t>0.466</t>
    </r>
  </si>
  <si>
    <t>0.717/0.865</t>
  </si>
  <si>
    <t>0.350/0.184</t>
  </si>
  <si>
    <t>0.828/0.584</t>
  </si>
  <si>
    <t>0.574/0.258</t>
  </si>
  <si>
    <t>0.964/0.989</t>
  </si>
  <si>
    <t>0.903/0.683</t>
  </si>
  <si>
    <t>0.784/0.930</t>
  </si>
  <si>
    <t>0.532/0.206</t>
  </si>
  <si>
    <t>0.606/0.381</t>
  </si>
  <si>
    <t>0.935/0.978</t>
  </si>
  <si>
    <t>0.730/0.325</t>
  </si>
  <si>
    <t>0.894/0.797</t>
  </si>
  <si>
    <t>0.634/0.824</t>
  </si>
  <si>
    <t>0.558/0.328</t>
  </si>
  <si>
    <t>0.263/0.102</t>
  </si>
  <si>
    <t>0.912/0.952</t>
  </si>
  <si>
    <t>0.721/0.667</t>
  </si>
  <si>
    <t>0.759/0.581</t>
  </si>
  <si>
    <t>0.753/0.540</t>
  </si>
  <si>
    <t>0.660/0.155</t>
  </si>
  <si>
    <t>0.531/0.182</t>
  </si>
  <si>
    <t>0.666/0.633</t>
  </si>
  <si>
    <t>0.310/0.153</t>
  </si>
  <si>
    <t>0.621/0.347</t>
  </si>
  <si>
    <t>0.156/0.078</t>
  </si>
  <si>
    <t>0.649/0.511</t>
  </si>
  <si>
    <t>0.312/0.092</t>
  </si>
  <si>
    <t>0.969/0.875</t>
  </si>
  <si>
    <t>0.852/0.563</t>
  </si>
  <si>
    <t>0.627/0.804</t>
  </si>
  <si>
    <t>0.679/0.175</t>
  </si>
  <si>
    <t>0.561/0.441</t>
  </si>
  <si>
    <t>0.589/0.586</t>
  </si>
  <si>
    <t>0.893/0.582</t>
  </si>
  <si>
    <t>0.637/0.933</t>
  </si>
  <si>
    <t>0.569/0.719</t>
  </si>
  <si>
    <t>0.728/0.572</t>
  </si>
  <si>
    <t>0.615/0.490</t>
  </si>
  <si>
    <t>0.609/0.640</t>
  </si>
  <si>
    <t>0.786/0.732</t>
  </si>
  <si>
    <t>0.501/0.286</t>
  </si>
  <si>
    <t>0.701/0.839</t>
  </si>
  <si>
    <t>0.354/0.259</t>
  </si>
  <si>
    <t>0.760/0.458</t>
  </si>
  <si>
    <t>0.438/0.118</t>
  </si>
  <si>
    <t>0.966/0.975</t>
  </si>
  <si>
    <t>0.758/0.755</t>
  </si>
  <si>
    <t>0.505/0.113</t>
  </si>
  <si>
    <t>0.485/0.327</t>
  </si>
  <si>
    <t>0.821/0.806</t>
  </si>
  <si>
    <t>0.625/0.217</t>
  </si>
  <si>
    <t>0.617/0.414</t>
  </si>
  <si>
    <t>0.652/0.661</t>
  </si>
  <si>
    <t>0.489/0.104</t>
  </si>
  <si>
    <t>0.272/0.134</t>
  </si>
  <si>
    <t>0.823/0.937</t>
  </si>
  <si>
    <t>0.582/0.481</t>
  </si>
  <si>
    <t>0.931/0.870</t>
  </si>
  <si>
    <t>0.793/0.564</t>
  </si>
  <si>
    <t>0.918/0.774</t>
  </si>
  <si>
    <t>0.783/0.371</t>
  </si>
  <si>
    <t>0.690/0.675</t>
  </si>
  <si>
    <t>0.390/0.225</t>
  </si>
  <si>
    <t>0.640/0.457</t>
  </si>
  <si>
    <t>0.213/0.119</t>
  </si>
  <si>
    <t>0.737/0.799</t>
  </si>
  <si>
    <t>0.434/0.157</t>
  </si>
  <si>
    <t>0.885/0.675</t>
  </si>
  <si>
    <t>0.696/0.248</t>
  </si>
  <si>
    <t>0.692/0.923</t>
  </si>
  <si>
    <t>0.733/0.239</t>
  </si>
  <si>
    <t>0.518/0.473</t>
  </si>
  <si>
    <t>0.645/0.664</t>
  </si>
  <si>
    <t>0.880/0.730</t>
  </si>
  <si>
    <t>0.925/0.847</t>
  </si>
  <si>
    <t>0.797/0.562</t>
  </si>
  <si>
    <t>0.919/0.761</t>
  </si>
  <si>
    <t>0.779/0.350</t>
  </si>
  <si>
    <t>0.692/0.663</t>
  </si>
  <si>
    <t>0.425/0.258</t>
  </si>
  <si>
    <t>0.639/0.460</t>
  </si>
  <si>
    <t>0.224/0.137</t>
  </si>
  <si>
    <t>0.773/0.791</t>
  </si>
  <si>
    <t>0.544/0.322</t>
  </si>
  <si>
    <t>0.891/0.703</t>
  </si>
  <si>
    <t>0.694/0.931</t>
  </si>
  <si>
    <t>0.720/0.244</t>
  </si>
  <si>
    <t>0.535/0.397</t>
  </si>
  <si>
    <t>0.640/0.677</t>
  </si>
  <si>
    <t>0.881/0.741</t>
  </si>
  <si>
    <t>0.875/0.735</t>
  </si>
  <si>
    <t>0.664/0.318</t>
  </si>
  <si>
    <t>0.908/0.738</t>
  </si>
  <si>
    <t>0.737/0.267</t>
  </si>
  <si>
    <t>0.687/0.673</t>
  </si>
  <si>
    <t>0.431/0.215</t>
  </si>
  <si>
    <t>0.642/0.438</t>
  </si>
  <si>
    <t>0.210/0.120</t>
  </si>
  <si>
    <t>0.710/0.777</t>
  </si>
  <si>
    <t>0.385/0.160</t>
  </si>
  <si>
    <t>0.702/0.934</t>
  </si>
  <si>
    <t>0.512/0.420</t>
  </si>
  <si>
    <t>0.892/0.711</t>
  </si>
  <si>
    <t>0.867/0.779</t>
  </si>
  <si>
    <t>0.703/0.362</t>
  </si>
  <si>
    <t>0.909/0.710</t>
  </si>
  <si>
    <t>0.717/0.210</t>
  </si>
  <si>
    <t>0.677/0.655</t>
  </si>
  <si>
    <t>0.398/0.223</t>
  </si>
  <si>
    <t>0.637/0.435</t>
  </si>
  <si>
    <t>0.197/0.111</t>
  </si>
  <si>
    <t>0.713/0.712</t>
  </si>
  <si>
    <t>0.410/0.183</t>
  </si>
  <si>
    <t>0.712/0.942</t>
  </si>
  <si>
    <t>0.726/0.252</t>
  </si>
  <si>
    <t>0.568/0.463</t>
  </si>
  <si>
    <t>0.894/0.717</t>
  </si>
  <si>
    <t>0.802/0.729</t>
  </si>
  <si>
    <t>0.640/0.323</t>
  </si>
  <si>
    <t>0.633/0.194</t>
  </si>
  <si>
    <t>0.520/0.021</t>
  </si>
  <si>
    <t>0.718/0.744</t>
  </si>
  <si>
    <t>0.489/0.281</t>
  </si>
  <si>
    <t>0.632/0.510</t>
  </si>
  <si>
    <t>0.212/0.110</t>
  </si>
  <si>
    <t>0.604/0.504</t>
  </si>
  <si>
    <t>0.236/0.035</t>
  </si>
  <si>
    <t>0.897/0.750</t>
  </si>
  <si>
    <t>0.743/0.355</t>
  </si>
  <si>
    <t>0.654/0.920</t>
  </si>
  <si>
    <t>0.717/0.308</t>
  </si>
  <si>
    <t>0.579/0.572</t>
  </si>
  <si>
    <t>0.665/0.705</t>
  </si>
  <si>
    <t>0.903/0.664</t>
  </si>
  <si>
    <t>0.698/0.973</t>
  </si>
  <si>
    <t>0.638/0.891</t>
  </si>
  <si>
    <t>0.761/0.713</t>
  </si>
  <si>
    <t>0.646/0.625</t>
  </si>
  <si>
    <t>0.588/0.725</t>
  </si>
  <si>
    <t>0.808/0.825</t>
  </si>
  <si>
    <t>0.591/0.300</t>
  </si>
  <si>
    <t>0.301/0.128</t>
  </si>
  <si>
    <t>0.833/0.571</t>
  </si>
  <si>
    <t>0.566/0.267</t>
  </si>
  <si>
    <t>0.977/0.992</t>
  </si>
  <si>
    <t>0.885/0.656</t>
  </si>
  <si>
    <t>0.638/0.790</t>
  </si>
  <si>
    <t>0.534/0.087</t>
  </si>
  <si>
    <t>0.265/0.094</t>
  </si>
  <si>
    <t>0.908/0.973</t>
  </si>
  <si>
    <t>0.650/0.268</t>
  </si>
  <si>
    <t>0.849/0.678</t>
  </si>
  <si>
    <t>0.685/0.802</t>
  </si>
  <si>
    <t>0.476/0.068</t>
  </si>
  <si>
    <t>0.319/0.175</t>
  </si>
  <si>
    <t>0.848/0.958</t>
  </si>
  <si>
    <t>0.611/0.508</t>
  </si>
  <si>
    <t>0.732/0.611</t>
  </si>
  <si>
    <t>0.574/0.221</t>
  </si>
  <si>
    <t>0.629/0.189</t>
  </si>
  <si>
    <t>0.514/0.021</t>
  </si>
  <si>
    <t>0.701/0.719</t>
  </si>
  <si>
    <t>0.455/0.249</t>
  </si>
  <si>
    <t>0.5962/0.468</t>
  </si>
  <si>
    <t>0.151/0.082</t>
  </si>
  <si>
    <t>0.583/0.424</t>
  </si>
  <si>
    <t>0.196/0.027</t>
  </si>
  <si>
    <t>0.782/0.580</t>
  </si>
  <si>
    <t>0.568/0.103</t>
  </si>
  <si>
    <t>0.660/0.922</t>
  </si>
  <si>
    <t>0.665/0.289</t>
  </si>
  <si>
    <t>0.515/0.465</t>
  </si>
  <si>
    <t>0.667/0.659</t>
  </si>
  <si>
    <t>0.890/0.699</t>
  </si>
  <si>
    <t>0.658/0.971</t>
  </si>
  <si>
    <t>0.618/0.884</t>
  </si>
  <si>
    <t>0.662/0.679</t>
  </si>
  <si>
    <t>0.637/0.603</t>
  </si>
  <si>
    <t>0.542/0.676</t>
  </si>
  <si>
    <t>0.786/0.789</t>
  </si>
  <si>
    <t>0.425/0.207</t>
  </si>
  <si>
    <t>0.654/0.872</t>
  </si>
  <si>
    <t>0.246/0.096</t>
  </si>
  <si>
    <t>0.809/0.560</t>
  </si>
  <si>
    <t>0.543/0.211</t>
  </si>
  <si>
    <t>0.934/0.993</t>
  </si>
  <si>
    <t>0.816/0.546</t>
  </si>
  <si>
    <t>0.65/0.88</t>
  </si>
  <si>
    <t>0.531/0.1</t>
  </si>
  <si>
    <t>0.265/0.078</t>
  </si>
  <si>
    <t>0.917/0.968</t>
  </si>
  <si>
    <t>0.694/0.240</t>
  </si>
  <si>
    <t>0.741/0.556</t>
  </si>
  <si>
    <t>0.636/0.783</t>
  </si>
  <si>
    <t>0.480/0.086</t>
  </si>
  <si>
    <t>0.171/0.057</t>
  </si>
  <si>
    <t>0.804/0.938</t>
  </si>
  <si>
    <t>0.426/0.283</t>
  </si>
  <si>
    <t>0.773/0.708</t>
  </si>
  <si>
    <t>0.618/0.272</t>
  </si>
  <si>
    <t>0.644/0.214</t>
  </si>
  <si>
    <t>0.516/0.023</t>
  </si>
  <si>
    <t>0.722/0.714</t>
  </si>
  <si>
    <t>0.475/0.294</t>
  </si>
  <si>
    <t>0.612/0.501</t>
  </si>
  <si>
    <t>0.162/0.087</t>
  </si>
  <si>
    <t>0.593/0.475</t>
  </si>
  <si>
    <t>0.227/0.039</t>
  </si>
  <si>
    <t>0.878/0.728</t>
  </si>
  <si>
    <t>0.689/0.270</t>
  </si>
  <si>
    <t>0.668/0.929</t>
  </si>
  <si>
    <t>0.723/0.349</t>
  </si>
  <si>
    <t>0.511/0.615</t>
  </si>
  <si>
    <t>0.666/0.689</t>
  </si>
  <si>
    <t>0.901/0.710</t>
  </si>
  <si>
    <t>0.702/0.977</t>
  </si>
  <si>
    <t>0.804/0.778</t>
  </si>
  <si>
    <t>0.560/0.387</t>
  </si>
  <si>
    <t>0.709/0.850</t>
  </si>
  <si>
    <t>0.333/0.222</t>
  </si>
  <si>
    <t>0.820/0.560</t>
  </si>
  <si>
    <t>0.549/0.243</t>
  </si>
  <si>
    <t>0.977/0.991</t>
  </si>
  <si>
    <t>0.847/0.635</t>
  </si>
  <si>
    <t>0.651/0.905</t>
  </si>
  <si>
    <t>0.537/0.131</t>
  </si>
  <si>
    <t>0.280/0.091</t>
  </si>
  <si>
    <t>0.929/0.958</t>
  </si>
  <si>
    <t>0.584/0.129</t>
  </si>
  <si>
    <t>0.821/0.129</t>
  </si>
  <si>
    <t>0.701/0.850</t>
  </si>
  <si>
    <t>0.489/0.099</t>
  </si>
  <si>
    <t>0.320/0.180</t>
  </si>
  <si>
    <r>
      <rPr>
        <rFont val="Calibri"/>
        <color theme="1"/>
      </rPr>
      <t>0.836/</t>
    </r>
    <r>
      <rPr>
        <rFont val="Calibri"/>
        <b/>
        <color theme="1"/>
      </rPr>
      <t>0.961</t>
    </r>
  </si>
  <si>
    <t>0.529/0.447</t>
  </si>
  <si>
    <t>0.911/0.867</t>
  </si>
  <si>
    <t>0.786/0.520</t>
  </si>
  <si>
    <t>0.933/0.789</t>
  </si>
  <si>
    <t>0.801/0.385</t>
  </si>
  <si>
    <t>0.702/0.711</t>
  </si>
  <si>
    <t>0.470/0.250</t>
  </si>
  <si>
    <t>0.656/0.487</t>
  </si>
  <si>
    <t>0.205/0.129</t>
  </si>
  <si>
    <t>0.730/0.719</t>
  </si>
  <si>
    <t>0.499/0.301</t>
  </si>
  <si>
    <t>0.934/0.855</t>
  </si>
  <si>
    <t>0.805/0.471</t>
  </si>
  <si>
    <t>0.712/0.939</t>
  </si>
  <si>
    <t>0.750/0.252</t>
  </si>
  <si>
    <t>0.571/0.537</t>
  </si>
  <si>
    <t>0.667/0.684</t>
  </si>
  <si>
    <t>0.897/0.747</t>
  </si>
  <si>
    <t>0.707/0.989</t>
  </si>
  <si>
    <t>0.629/0.865</t>
  </si>
  <si>
    <t>0.836/0.772</t>
  </si>
  <si>
    <t>0.737/0.800</t>
  </si>
  <si>
    <t>0.627/0.807</t>
  </si>
  <si>
    <t>0.825/0.792</t>
  </si>
  <si>
    <t>0.571/0.350</t>
  </si>
  <si>
    <t>0.700/0.868</t>
  </si>
  <si>
    <t>0.369/0.245</t>
  </si>
  <si>
    <t>0.840/0.589</t>
  </si>
  <si>
    <t>0.572/0.275</t>
  </si>
  <si>
    <t>0.880/0.929</t>
  </si>
  <si>
    <t>0.675/0.394</t>
  </si>
  <si>
    <t>0.802/0.955</t>
  </si>
  <si>
    <t>0.559/0.150</t>
  </si>
  <si>
    <t>0.675/0.444</t>
  </si>
  <si>
    <t>0.954/0.988</t>
  </si>
  <si>
    <t>0.723/0.381</t>
  </si>
  <si>
    <t>0.922/0.838</t>
  </si>
  <si>
    <t>0.634/0.815</t>
  </si>
  <si>
    <t>0.573/0.453</t>
  </si>
  <si>
    <t>0.230/0.082</t>
  </si>
  <si>
    <t>0.873/0.931</t>
  </si>
  <si>
    <t>0.688/0.647</t>
  </si>
  <si>
    <t>0.896/0.853</t>
  </si>
  <si>
    <t>0.781/0.547</t>
  </si>
  <si>
    <t>0.931/0.771</t>
  </si>
  <si>
    <t>0.788/0.381</t>
  </si>
  <si>
    <t>0.718/0.697</t>
  </si>
  <si>
    <t>0.488/0.265</t>
  </si>
  <si>
    <t>0.654/0.492</t>
  </si>
  <si>
    <t>0.218/0.133</t>
  </si>
  <si>
    <t>0.730/0.770</t>
  </si>
  <si>
    <t>0.499/0.283</t>
  </si>
  <si>
    <t>0.949/0.895</t>
  </si>
  <si>
    <t>0.849/0.595</t>
  </si>
  <si>
    <t>0.716/0.940</t>
  </si>
  <si>
    <t>0.741/0.235</t>
  </si>
  <si>
    <t>0.566/0.562</t>
  </si>
  <si>
    <t>0.700/0.709</t>
  </si>
  <si>
    <t>0.906/0.752</t>
  </si>
  <si>
    <t>0.720/0.989</t>
  </si>
  <si>
    <t>0.612/0.858</t>
  </si>
  <si>
    <t>0.834/0.761</t>
  </si>
  <si>
    <r>
      <rPr>
        <rFont val="Calibri"/>
        <b/>
        <color theme="1"/>
      </rPr>
      <t>0.737</t>
    </r>
    <r>
      <rPr>
        <rFont val="Calibri"/>
        <color theme="1"/>
      </rPr>
      <t>/0.783</t>
    </r>
  </si>
  <si>
    <t>0.640/0.809</t>
  </si>
  <si>
    <t>0.827/0.745</t>
  </si>
  <si>
    <t>0.632/0.385</t>
  </si>
  <si>
    <t>0.718/0.854</t>
  </si>
  <si>
    <t>0.426/0.305</t>
  </si>
  <si>
    <t>0.832/0.596</t>
  </si>
  <si>
    <t>0.554/0.235</t>
  </si>
  <si>
    <t>0.897/0.915</t>
  </si>
  <si>
    <t>0.681/0.367</t>
  </si>
  <si>
    <t>0.811/0.930</t>
  </si>
  <si>
    <t>0.574/0.197</t>
  </si>
  <si>
    <t>0.701/0.505</t>
  </si>
  <si>
    <t>0.954/0.995</t>
  </si>
  <si>
    <t>0.755/0.381</t>
  </si>
  <si>
    <t>0.892/0.759</t>
  </si>
  <si>
    <t>0.632/0.815</t>
  </si>
  <si>
    <t>0.579/0.469</t>
  </si>
  <si>
    <t>0.213/0.076</t>
  </si>
  <si>
    <t>0.850/0.938</t>
  </si>
  <si>
    <t>0.661/0.599</t>
  </si>
  <si>
    <t>0.945/0.885</t>
  </si>
  <si>
    <t>0.840/0.666</t>
  </si>
  <si>
    <t>0.941/0.808</t>
  </si>
  <si>
    <t>0.829/0.468</t>
  </si>
  <si>
    <t>0.685/0.673</t>
  </si>
  <si>
    <t>0.407/0.218</t>
  </si>
  <si>
    <t>0.626/0.447</t>
  </si>
  <si>
    <t>0.170/0.110</t>
  </si>
  <si>
    <t>0.690/0.698</t>
  </si>
  <si>
    <t>0.407/0.187</t>
  </si>
  <si>
    <t>0.865/0.733</t>
  </si>
  <si>
    <t>0.720/0.311</t>
  </si>
  <si>
    <t>0.666/0.916</t>
  </si>
  <si>
    <t>0.708/0.207</t>
  </si>
  <si>
    <t>0.580/0.489</t>
  </si>
  <si>
    <t>0.638/0.641</t>
  </si>
  <si>
    <t>0.842/0.714</t>
  </si>
  <si>
    <t>0.670/0.983</t>
  </si>
  <si>
    <t>0.596/0.830</t>
  </si>
  <si>
    <t>0.813/0.736</t>
  </si>
  <si>
    <t>0.713/0.768</t>
  </si>
  <si>
    <t>0.636/0.778</t>
  </si>
  <si>
    <t>0.820/0.809</t>
  </si>
  <si>
    <t>0.551/0.416</t>
  </si>
  <si>
    <t>0.703/0.887</t>
  </si>
  <si>
    <t>0.381/0.360</t>
  </si>
  <si>
    <t>0.817/0.553</t>
  </si>
  <si>
    <t>0.540/0.206</t>
  </si>
  <si>
    <t>0.989/0.996</t>
  </si>
  <si>
    <t>0.937/0.804</t>
  </si>
  <si>
    <t>0.812/0.970</t>
  </si>
  <si>
    <t>0.533/0.103</t>
  </si>
  <si>
    <t>0.683/0.481</t>
  </si>
  <si>
    <t>0.902/0.973</t>
  </si>
  <si>
    <t>0.704/0.384</t>
  </si>
  <si>
    <t>0.809/0.682</t>
  </si>
  <si>
    <t>0.641/0.815</t>
  </si>
  <si>
    <t>0.575/0.357</t>
  </si>
  <si>
    <t>0.252/0.102</t>
  </si>
  <si>
    <t>0.882/0.947</t>
  </si>
  <si>
    <t>0.727/0.677</t>
  </si>
  <si>
    <t>0.932/0.853</t>
  </si>
  <si>
    <t>0.761/0.471</t>
  </si>
  <si>
    <t>0.943/0.736</t>
  </si>
  <si>
    <t>0.802/0.428</t>
  </si>
  <si>
    <t>0.657/0.658</t>
  </si>
  <si>
    <t>0.340/0.188</t>
  </si>
  <si>
    <t>0.635/0.449</t>
  </si>
  <si>
    <t>0.183/0.118</t>
  </si>
  <si>
    <t>0.681/0.683</t>
  </si>
  <si>
    <t>0.384/0.129</t>
  </si>
  <si>
    <t>0.895/0.777</t>
  </si>
  <si>
    <t>0.747/0.314</t>
  </si>
  <si>
    <t>0.665/0.902</t>
  </si>
  <si>
    <t>0.739/0.168</t>
  </si>
  <si>
    <t>0.618/0.501</t>
  </si>
  <si>
    <t>0.667/0.559</t>
  </si>
  <si>
    <t>0.832/0.634</t>
  </si>
  <si>
    <t>0.700/0.978</t>
  </si>
  <si>
    <t>0.600/0.794</t>
  </si>
  <si>
    <t>0.828/0.720</t>
  </si>
  <si>
    <t>0.707/0.735</t>
  </si>
  <si>
    <t>0.586/0.744</t>
  </si>
  <si>
    <t>0.813/0.756</t>
  </si>
  <si>
    <t>0.532/0.337</t>
  </si>
  <si>
    <t>0.718/0.823</t>
  </si>
  <si>
    <t>0.338/0.257</t>
  </si>
  <si>
    <t>0.789/0.501</t>
  </si>
  <si>
    <t>0.501/0.164</t>
  </si>
  <si>
    <t>0.980/0.993</t>
  </si>
  <si>
    <t>0.898/0.711</t>
  </si>
  <si>
    <t>0.764/0.940</t>
  </si>
  <si>
    <t>0.509/0.119</t>
  </si>
  <si>
    <t>0.443/0.189</t>
  </si>
  <si>
    <t>0.911/0.943</t>
  </si>
  <si>
    <t>0.686/0.312</t>
  </si>
  <si>
    <t>0.829/0.667</t>
  </si>
  <si>
    <t>0.632/0.735</t>
  </si>
  <si>
    <t>0.559/0.279</t>
  </si>
  <si>
    <t>0.241/0.086</t>
  </si>
  <si>
    <t>0.795/0.897</t>
  </si>
  <si>
    <t>0.431/0.258</t>
  </si>
  <si>
    <t>P@1</t>
  </si>
  <si>
    <r>
      <rPr>
        <rFont val="Calibri"/>
        <b/>
        <color theme="1"/>
      </rPr>
      <t>Metrics</t>
    </r>
    <r>
      <rPr>
        <rFont val="Calibri"/>
        <color theme="1"/>
      </rPr>
      <t>: Accuracy is used for classification via linear probe, mAP for linear probe detection. Metrics for retrieval are written as ROC-AUC / P@1. For clustering we report normalized mutual information/adjusted rand index</t>
    </r>
  </si>
  <si>
    <r>
      <rPr>
        <rFont val="Calibri"/>
        <b/>
        <color theme="1"/>
      </rPr>
      <t>Colors</t>
    </r>
    <r>
      <rPr>
        <rFont val="Calibri"/>
        <color theme="1"/>
      </rPr>
      <t>: grey means not ready. Pink = sus</t>
    </r>
  </si>
  <si>
    <t>Individual-ID</t>
  </si>
  <si>
    <t>Voxaboxen</t>
  </si>
  <si>
    <t>Unseen-species</t>
  </si>
  <si>
    <t>swamp-sparrow</t>
  </si>
  <si>
    <t>cassin-vireo</t>
  </si>
  <si>
    <t>chiffchaff-within</t>
  </si>
  <si>
    <t>littleowls-within</t>
  </si>
  <si>
    <t>pipit-within</t>
  </si>
  <si>
    <t>finetune</t>
  </si>
  <si>
    <t>probe</t>
  </si>
  <si>
    <t>0.784/0.684</t>
  </si>
  <si>
    <t>0.610/0.256</t>
  </si>
  <si>
    <t>0.709/0.282</t>
  </si>
  <si>
    <t>0.701/0.681</t>
  </si>
  <si>
    <t>0.61/0.413</t>
  </si>
  <si>
    <t>0.183/0.105</t>
  </si>
  <si>
    <t>0.643/0.864</t>
  </si>
  <si>
    <t>0.850/0.701</t>
  </si>
  <si>
    <t>0.917/0.89</t>
  </si>
  <si>
    <t>0.790/0.964</t>
  </si>
  <si>
    <t>0.527/0.299</t>
  </si>
  <si>
    <t>0.924/0.985</t>
  </si>
  <si>
    <t>EAT (pretrained)</t>
  </si>
  <si>
    <t>EAT (SFT)</t>
  </si>
  <si>
    <r>
      <rPr>
        <rFont val="Calibri"/>
        <color theme="1"/>
      </rPr>
      <t>0.857/</t>
    </r>
    <r>
      <rPr>
        <rFont val="Calibri"/>
        <b/>
        <color theme="1"/>
      </rPr>
      <t>0.955</t>
    </r>
  </si>
  <si>
    <r>
      <rPr>
        <rFont val="Calibri"/>
        <b/>
        <color theme="1"/>
      </rPr>
      <t>0.742</t>
    </r>
    <r>
      <rPr>
        <rFont val="Calibri"/>
        <b val="0"/>
        <color theme="1"/>
      </rPr>
      <t>/0.894</t>
    </r>
  </si>
  <si>
    <r>
      <rPr>
        <rFont val="Calibri"/>
        <b/>
        <color theme="1"/>
      </rPr>
      <t>0.591/</t>
    </r>
    <r>
      <rPr>
        <rFont val="Calibri"/>
        <b val="0"/>
        <color theme="1"/>
      </rPr>
      <t>0.274</t>
    </r>
  </si>
  <si>
    <t>0.255/0.169</t>
  </si>
  <si>
    <t>ATST-frame</t>
  </si>
  <si>
    <t>0.715/0.658</t>
  </si>
  <si>
    <t>0.618/0.183</t>
  </si>
  <si>
    <t>0.597/0.423</t>
  </si>
  <si>
    <t>0.602/0.568</t>
  </si>
  <si>
    <t>0.652/0.585</t>
  </si>
  <si>
    <t>0.675/0.525</t>
  </si>
  <si>
    <t>0.689/0.552</t>
  </si>
  <si>
    <t>0.293/0.141</t>
  </si>
  <si>
    <t>0.751/0.656</t>
  </si>
  <si>
    <t>0.531/0.651</t>
  </si>
  <si>
    <t>0.061/0.008</t>
  </si>
  <si>
    <t>0.675/0.396</t>
  </si>
  <si>
    <t>0.384/0.083</t>
  </si>
  <si>
    <t>0.774/0.911</t>
  </si>
  <si>
    <t>0.531/0.255</t>
  </si>
  <si>
    <t>0.667/0.668</t>
  </si>
  <si>
    <t>0.267/0.108</t>
  </si>
  <si>
    <r>
      <rPr>
        <rFont val="Calibri"/>
        <b val="0"/>
        <color theme="1"/>
      </rPr>
      <t>0.731</t>
    </r>
    <r>
      <rPr>
        <rFont val="Calibri"/>
        <b/>
        <color theme="1"/>
      </rPr>
      <t>/0.724</t>
    </r>
  </si>
  <si>
    <r>
      <rPr>
        <rFont val="Calibri"/>
        <b val="0"/>
        <color theme="1"/>
      </rPr>
      <t>0.648</t>
    </r>
    <r>
      <rPr>
        <rFont val="Calibri"/>
        <b/>
        <color theme="1"/>
      </rPr>
      <t>/0.548</t>
    </r>
  </si>
  <si>
    <r>
      <rPr>
        <rFont val="Calibri"/>
        <b/>
        <color theme="1"/>
      </rPr>
      <t>0.714/</t>
    </r>
    <r>
      <rPr>
        <rFont val="Calibri"/>
        <b val="0"/>
        <color theme="1"/>
      </rPr>
      <t>0.956</t>
    </r>
  </si>
  <si>
    <r>
      <rPr>
        <rFont val="Calibri"/>
        <b/>
        <color theme="1"/>
      </rPr>
      <t>0.722/</t>
    </r>
    <r>
      <rPr>
        <rFont val="Calibri"/>
        <b val="0"/>
        <color theme="1"/>
      </rPr>
      <t>0.988</t>
    </r>
  </si>
  <si>
    <r>
      <rPr>
        <rFont val="Calibri"/>
        <b val="0"/>
        <color theme="1"/>
      </rPr>
      <t>0.819</t>
    </r>
    <r>
      <rPr>
        <rFont val="Calibri"/>
        <b/>
        <color theme="1"/>
      </rPr>
      <t>/</t>
    </r>
    <r>
      <rPr>
        <rFont val="Calibri"/>
        <b val="0"/>
        <color theme="1"/>
      </rPr>
      <t>0.774</t>
    </r>
  </si>
  <si>
    <r>
      <rPr>
        <rFont val="Calibri"/>
        <b val="0"/>
        <color theme="1"/>
      </rPr>
      <t>0.841</t>
    </r>
    <r>
      <rPr>
        <rFont val="Calibri"/>
        <b/>
        <color theme="1"/>
      </rPr>
      <t>/</t>
    </r>
    <r>
      <rPr>
        <rFont val="Calibri"/>
        <b val="0"/>
        <color theme="1"/>
      </rPr>
      <t>0.778</t>
    </r>
  </si>
  <si>
    <r>
      <rPr>
        <rFont val="Calibri"/>
        <color theme="1"/>
      </rPr>
      <t>0.351/</t>
    </r>
    <r>
      <rPr>
        <rFont val="Calibri"/>
        <b/>
        <color theme="1"/>
      </rPr>
      <t>0.267</t>
    </r>
  </si>
  <si>
    <r>
      <rPr>
        <rFont val="Calibri"/>
        <b/>
        <color theme="1"/>
      </rPr>
      <t>0.862/</t>
    </r>
    <r>
      <rPr>
        <rFont val="Calibri"/>
        <b val="0"/>
        <color theme="1"/>
      </rPr>
      <t>0.627</t>
    </r>
  </si>
  <si>
    <t>0.927/0.977</t>
  </si>
  <si>
    <t>0.793/0.675</t>
  </si>
  <si>
    <t>0.916/0.990</t>
  </si>
  <si>
    <r>
      <rPr>
        <rFont val="Calibri"/>
        <b/>
        <color theme="1"/>
      </rPr>
      <t>0.734/</t>
    </r>
    <r>
      <rPr>
        <rFont val="Calibri"/>
        <b val="0"/>
        <color theme="1"/>
      </rPr>
      <t>0.722</t>
    </r>
  </si>
  <si>
    <r>
      <rPr>
        <rFont val="Calibri"/>
        <b val="0"/>
        <color theme="1"/>
      </rPr>
      <t>0.655</t>
    </r>
    <r>
      <rPr>
        <rFont val="Calibri"/>
        <b/>
        <color theme="1"/>
      </rPr>
      <t>/</t>
    </r>
    <r>
      <rPr>
        <rFont val="Calibri"/>
        <b val="0"/>
        <color theme="1"/>
      </rPr>
      <t>0.528</t>
    </r>
  </si>
  <si>
    <t>Perch_8</t>
  </si>
  <si>
    <t>0.758/0.835</t>
  </si>
  <si>
    <r>
      <rPr>
        <rFont val="Calibri"/>
        <b val="0"/>
        <color theme="1"/>
      </rPr>
      <t>0.758</t>
    </r>
    <r>
      <rPr>
        <rFont val="Calibri"/>
        <b/>
        <color theme="1"/>
      </rPr>
      <t>/0.834</t>
    </r>
  </si>
  <si>
    <r>
      <rPr>
        <rFont val="Calibri"/>
        <b/>
        <color theme="1"/>
      </rPr>
      <t>0.783</t>
    </r>
    <r>
      <rPr>
        <rFont val="Calibri"/>
        <color theme="1"/>
      </rPr>
      <t>/0.291</t>
    </r>
  </si>
  <si>
    <r>
      <rPr>
        <rFont val="Calibri"/>
        <color theme="1"/>
      </rPr>
      <t>0.803/</t>
    </r>
    <r>
      <rPr>
        <rFont val="Calibri"/>
        <b/>
        <color theme="1"/>
      </rPr>
      <t>0.809</t>
    </r>
  </si>
  <si>
    <r>
      <rPr>
        <rFont val="Calibri"/>
        <color theme="1"/>
      </rPr>
      <t>0.854/</t>
    </r>
    <r>
      <rPr>
        <rFont val="Calibri"/>
        <b/>
        <color theme="1"/>
      </rPr>
      <t>0.645</t>
    </r>
  </si>
  <si>
    <r>
      <rPr>
        <rFont val="Calibri"/>
        <color theme="1"/>
      </rPr>
      <t>0.585/</t>
    </r>
    <r>
      <rPr>
        <rFont val="Calibri"/>
        <b/>
        <color theme="1"/>
      </rPr>
      <t>0.277</t>
    </r>
  </si>
  <si>
    <t>0.716/0.690</t>
  </si>
  <si>
    <t>0.717/0.920</t>
  </si>
  <si>
    <t>0.461/0.278</t>
  </si>
  <si>
    <t>0.452/0.424</t>
  </si>
  <si>
    <r>
      <rPr>
        <rFont val="Calibri"/>
        <color theme="1"/>
      </rPr>
      <t>0.719/</t>
    </r>
    <r>
      <rPr>
        <rFont val="Calibri"/>
        <b/>
        <color theme="1"/>
      </rPr>
      <t>0.99</t>
    </r>
  </si>
  <si>
    <r>
      <rPr>
        <rFont val="Calibri"/>
        <b/>
        <color theme="1"/>
      </rPr>
      <t>0.845</t>
    </r>
    <r>
      <rPr>
        <rFont val="Calibri"/>
        <color theme="1"/>
      </rPr>
      <t>/0.777</t>
    </r>
  </si>
  <si>
    <r>
      <rPr>
        <rFont val="Calibri"/>
        <b/>
        <color theme="1"/>
      </rPr>
      <t>0.848</t>
    </r>
    <r>
      <rPr>
        <rFont val="Calibri"/>
        <b/>
        <color theme="1"/>
      </rPr>
      <t>/0.849</t>
    </r>
  </si>
  <si>
    <r>
      <rPr>
        <rFont val="Calibri"/>
        <b/>
        <color theme="1"/>
      </rPr>
      <t>0.381</t>
    </r>
    <r>
      <rPr>
        <rFont val="Calibri"/>
        <color theme="1"/>
      </rPr>
      <t>/0.228</t>
    </r>
  </si>
  <si>
    <t>0.973/0.993</t>
  </si>
  <si>
    <t>0.797/0.607</t>
  </si>
  <si>
    <r>
      <rPr>
        <rFont val="Calibri"/>
        <b/>
        <color theme="1"/>
      </rPr>
      <t>0.955</t>
    </r>
    <r>
      <rPr>
        <rFont val="Calibri"/>
        <color theme="1"/>
      </rPr>
      <t>/0.975</t>
    </r>
  </si>
  <si>
    <r>
      <rPr>
        <rFont val="Calibri"/>
        <color theme="1"/>
      </rPr>
      <t>0.894/</t>
    </r>
    <r>
      <rPr>
        <rFont val="Calibri"/>
        <b/>
        <color theme="1"/>
      </rPr>
      <t>0.920</t>
    </r>
  </si>
  <si>
    <r>
      <rPr>
        <rFont val="Calibri"/>
        <b/>
        <color theme="1"/>
      </rPr>
      <t>0.764</t>
    </r>
    <r>
      <rPr>
        <rFont val="Calibri"/>
        <color theme="1"/>
      </rPr>
      <t>/0.813</t>
    </r>
  </si>
  <si>
    <t>0.8940/0.698</t>
  </si>
  <si>
    <r>
      <rPr>
        <rFont val="Calibri"/>
        <color theme="1"/>
      </rPr>
      <t>0.640/</t>
    </r>
    <r>
      <rPr>
        <rFont val="Calibri"/>
        <b/>
        <color theme="1"/>
      </rPr>
      <t>0.466</t>
    </r>
  </si>
  <si>
    <t>0.951/0.991</t>
  </si>
  <si>
    <t>0.826/0.687</t>
  </si>
  <si>
    <t>0.939/0.987</t>
  </si>
  <si>
    <t>0.790/0.663</t>
  </si>
  <si>
    <t>EffNetB0-all-e28</t>
  </si>
  <si>
    <t>0.897/0.811</t>
  </si>
  <si>
    <t>0.707/0.664</t>
  </si>
  <si>
    <t>0.643/0.471</t>
  </si>
  <si>
    <t>0.764/0.842</t>
  </si>
  <si>
    <t>0.771/0.580</t>
  </si>
  <si>
    <t>0.902/0.749</t>
  </si>
  <si>
    <t>0.712/0.989</t>
  </si>
  <si>
    <t>0.613/0.855</t>
  </si>
  <si>
    <r>
      <rPr>
        <rFont val="Calibri"/>
        <b/>
        <color theme="1"/>
      </rPr>
      <t>0.840</t>
    </r>
    <r>
      <rPr>
        <rFont val="Calibri"/>
        <color theme="1"/>
      </rPr>
      <t>/0.778</t>
    </r>
  </si>
  <si>
    <t>0.723/0.7632</t>
  </si>
  <si>
    <t>CLAP-all-e30 10364</t>
  </si>
  <si>
    <t>0.875/0.767</t>
  </si>
  <si>
    <t>0.912/0.681</t>
  </si>
  <si>
    <t>0.695/0.675</t>
  </si>
  <si>
    <t>0.646/0.439</t>
  </si>
  <si>
    <t>0.720/0.770</t>
  </si>
  <si>
    <t>CLAP-all-e15 10366</t>
  </si>
  <si>
    <t>0.881/0.737</t>
  </si>
  <si>
    <t>0.918/0.678</t>
  </si>
  <si>
    <t>0.706/0.664</t>
  </si>
  <si>
    <t>0.649/0.442</t>
  </si>
  <si>
    <t>0.714/0.719</t>
  </si>
  <si>
    <t>CLAP-bs300</t>
  </si>
  <si>
    <t>0.82/0.708</t>
  </si>
  <si>
    <t>0.887/0.662</t>
  </si>
  <si>
    <t>0.615/0.618</t>
  </si>
  <si>
    <t>0.611/0.297</t>
  </si>
  <si>
    <t>0.707/0.712</t>
  </si>
  <si>
    <t>0.751/0.560</t>
  </si>
  <si>
    <t>CLAP-bs300-caption</t>
  </si>
  <si>
    <t>0.833/0.735</t>
  </si>
  <si>
    <t>0.635/0.273</t>
  </si>
  <si>
    <t>0.891/0.661</t>
  </si>
  <si>
    <t>0.728/0.257</t>
  </si>
  <si>
    <t>0.6322/0.630</t>
  </si>
  <si>
    <t>0.299/0.118</t>
  </si>
  <si>
    <t>0.614/0.295</t>
  </si>
  <si>
    <t>0.715/0.763</t>
  </si>
  <si>
    <t>0.465/0.241</t>
  </si>
  <si>
    <t>0.609/0.883</t>
  </si>
  <si>
    <t>0.684/0.494</t>
  </si>
  <si>
    <t>0.700/0.974</t>
  </si>
  <si>
    <t>0.571/0.829</t>
  </si>
  <si>
    <t>0.719/0.727</t>
  </si>
  <si>
    <t>0.559/0.451</t>
  </si>
  <si>
    <t>0.464/0.372</t>
  </si>
  <si>
    <t>0.845/0.769</t>
  </si>
  <si>
    <t>0.800/0.772</t>
  </si>
  <si>
    <t>0.555/0.330</t>
  </si>
  <si>
    <t>0.896/0.863</t>
  </si>
  <si>
    <t>0.648/0.812</t>
  </si>
  <si>
    <t>0.807/0.548</t>
  </si>
  <si>
    <t>0.560/0.246</t>
  </si>
  <si>
    <t>0.927/0.961</t>
  </si>
  <si>
    <t>0.886/0.789</t>
  </si>
  <si>
    <t>0.636/0.83</t>
  </si>
  <si>
    <t>CLAP-effnet-all-caption</t>
  </si>
  <si>
    <t>0.653/0.622</t>
  </si>
  <si>
    <t>BEATS-ft_e15</t>
  </si>
  <si>
    <t>0.943/0.888</t>
  </si>
  <si>
    <t>0.830/0.648</t>
  </si>
  <si>
    <t>0.927/0.780</t>
  </si>
  <si>
    <t>0.808/0.446</t>
  </si>
  <si>
    <t>0.674/0.671</t>
  </si>
  <si>
    <t>0.441/0.254</t>
  </si>
  <si>
    <t>0.634/0.456</t>
  </si>
  <si>
    <t>0.199/0.136</t>
  </si>
  <si>
    <t>0.696/.705</t>
  </si>
  <si>
    <t>0.449/0.184</t>
  </si>
  <si>
    <r>
      <rPr>
        <rFont val="Calibri"/>
        <b/>
        <color theme="1"/>
      </rPr>
      <t>0.703</t>
    </r>
    <r>
      <rPr>
        <rFont val="Calibri"/>
        <color theme="1"/>
      </rPr>
      <t>/0.935</t>
    </r>
  </si>
  <si>
    <r>
      <rPr>
        <rFont val="Calibri"/>
        <color theme="1"/>
      </rPr>
      <t>0.764/</t>
    </r>
    <r>
      <rPr>
        <rFont val="Calibri"/>
        <b/>
        <color theme="1"/>
      </rPr>
      <t>0.578</t>
    </r>
  </si>
  <si>
    <r>
      <rPr>
        <rFont val="Calibri"/>
        <color theme="1"/>
      </rPr>
      <t>0.851/</t>
    </r>
    <r>
      <rPr>
        <rFont val="Calibri"/>
        <b/>
        <color theme="1"/>
      </rPr>
      <t>0.758</t>
    </r>
  </si>
  <si>
    <t>0.724/0.989</t>
  </si>
  <si>
    <t>0.801/0.656</t>
  </si>
  <si>
    <t>0.784/0.716</t>
  </si>
  <si>
    <t>0.554/0.339</t>
  </si>
  <si>
    <t>0.841/0.786</t>
  </si>
  <si>
    <t>0.688/0.792</t>
  </si>
  <si>
    <t>0.359/0.239</t>
  </si>
  <si>
    <t>0.834/0.571</t>
  </si>
  <si>
    <t>0.550/0.230</t>
  </si>
  <si>
    <t>0.930/0.968</t>
  </si>
  <si>
    <t>0.623/0.817</t>
  </si>
  <si>
    <t>0.230/0.080</t>
  </si>
  <si>
    <t>EAT_48khz (pre)</t>
  </si>
  <si>
    <t>0.699/0.711</t>
  </si>
  <si>
    <t>0.432/0.187</t>
  </si>
  <si>
    <t>0.572/0.448</t>
  </si>
  <si>
    <t>0.112/0.067</t>
  </si>
  <si>
    <t>0.603/0.417</t>
  </si>
  <si>
    <t>0.262/0.053</t>
  </si>
  <si>
    <t>0.660/0.959</t>
  </si>
  <si>
    <t>0.604/0.821</t>
  </si>
  <si>
    <t>0.755/0.727</t>
  </si>
  <si>
    <t>0.669/0.826</t>
  </si>
  <si>
    <t>0.325/0.177</t>
  </si>
  <si>
    <t>0.755/0.528</t>
  </si>
  <si>
    <t>0.490/0.162</t>
  </si>
  <si>
    <t>0.875/0.941</t>
  </si>
  <si>
    <t>EAT-cold-e22 (pre)</t>
  </si>
  <si>
    <t>0.686/0.559</t>
  </si>
  <si>
    <t>0.590/0.146</t>
  </si>
  <si>
    <t>0.571/0.433</t>
  </si>
  <si>
    <t>0.569/0.396</t>
  </si>
  <si>
    <t>0.952/993</t>
  </si>
  <si>
    <t>0.768/0.604</t>
  </si>
  <si>
    <t>0.809/9.560</t>
  </si>
  <si>
    <t>EAT-all-e18</t>
  </si>
  <si>
    <t>0.781/0.723</t>
  </si>
  <si>
    <t>0.654/0.228</t>
  </si>
  <si>
    <t>0.528/0.028</t>
  </si>
  <si>
    <t>0.735/0.732</t>
  </si>
  <si>
    <t>0.499/0.271</t>
  </si>
  <si>
    <t>0.625/0.521</t>
  </si>
  <si>
    <t>0.210/0.112</t>
  </si>
  <si>
    <t>0.598/0.460</t>
  </si>
  <si>
    <t>0.721/0.351</t>
  </si>
  <si>
    <t>0.557/0.567</t>
  </si>
  <si>
    <t>0.960/0.992</t>
  </si>
  <si>
    <r>
      <rPr>
        <rFont val="Calibri"/>
        <color theme="1"/>
      </rPr>
      <t>0.812/</t>
    </r>
    <r>
      <rPr>
        <rFont val="Calibri"/>
        <b/>
        <color theme="1"/>
      </rPr>
      <t>0.708</t>
    </r>
  </si>
  <si>
    <t>0.836/0.961</t>
  </si>
  <si>
    <t>0.911/0.870</t>
  </si>
  <si>
    <t>0.806/0.431</t>
  </si>
  <si>
    <t>0.702/0.713</t>
  </si>
  <si>
    <t>0.461/0.240</t>
  </si>
  <si>
    <r>
      <rPr>
        <rFont val="Calibri"/>
        <b/>
        <color theme="1"/>
      </rPr>
      <t>0.657</t>
    </r>
    <r>
      <rPr>
        <rFont val="Calibri"/>
        <color theme="1"/>
      </rPr>
      <t>/0.487</t>
    </r>
  </si>
  <si>
    <t>0.208/0.131</t>
  </si>
  <si>
    <t>0.496/0.301</t>
  </si>
  <si>
    <t>0.751/0.256</t>
  </si>
  <si>
    <t>0.571/0.532</t>
  </si>
  <si>
    <r>
      <rPr>
        <rFont val="Calibri"/>
        <color theme="1"/>
      </rPr>
      <t>0.898/</t>
    </r>
    <r>
      <rPr>
        <rFont val="Calibri"/>
        <b/>
        <color theme="1"/>
      </rPr>
      <t>0.756</t>
    </r>
  </si>
  <si>
    <t>0.837/0.966</t>
  </si>
  <si>
    <t>0.896/0.852</t>
  </si>
  <si>
    <r>
      <rPr>
        <rFont val="Calibri"/>
        <b/>
        <color theme="1"/>
      </rPr>
      <t>0.716/</t>
    </r>
    <r>
      <rPr>
        <rFont val="Calibri"/>
        <b val="0"/>
        <color theme="1"/>
      </rPr>
      <t>0.940</t>
    </r>
  </si>
  <si>
    <r>
      <rPr>
        <rFont val="Calibri"/>
        <b/>
        <color theme="1"/>
      </rPr>
      <t>0.906</t>
    </r>
    <r>
      <rPr>
        <rFont val="Calibri"/>
        <color theme="1"/>
      </rPr>
      <t>/0.752</t>
    </r>
  </si>
  <si>
    <r>
      <rPr>
        <rFont val="Calibri"/>
        <b/>
        <color theme="1"/>
      </rPr>
      <t>0.737</t>
    </r>
    <r>
      <rPr>
        <rFont val="Calibri"/>
        <color theme="1"/>
      </rPr>
      <t>/0.783</t>
    </r>
  </si>
  <si>
    <r>
      <rPr>
        <rFont val="Calibri"/>
        <b/>
        <color theme="1"/>
      </rPr>
      <t>0.945</t>
    </r>
    <r>
      <rPr>
        <rFont val="Calibri"/>
        <b val="0"/>
        <color theme="1"/>
      </rPr>
      <t>/0.885</t>
    </r>
  </si>
  <si>
    <t>0.684/0.673</t>
  </si>
  <si>
    <t>0.460/0.247</t>
  </si>
  <si>
    <t>0.209/0.115</t>
  </si>
  <si>
    <t>0.923/0.852</t>
  </si>
  <si>
    <t>0.689/0.636</t>
  </si>
  <si>
    <t>0.624/0.405</t>
  </si>
  <si>
    <t>0.895/0.778</t>
  </si>
  <si>
    <t>DOGS</t>
  </si>
  <si>
    <r>
      <rPr>
        <rFont val="Calibri"/>
        <b/>
        <color theme="1"/>
      </rPr>
      <t>Metrics</t>
    </r>
    <r>
      <rPr>
        <rFont val="Calibri"/>
        <color theme="1"/>
      </rPr>
      <t>: Accuracy is used for classification via linear probe, mAP for linear probe detection. Metrics for retrieval are written as ROC-AUC / P@1. For clustering we report normalized mutual information/adjusted rand index</t>
    </r>
  </si>
  <si>
    <r>
      <rPr>
        <rFont val="Calibri"/>
        <b/>
        <color theme="1"/>
      </rPr>
      <t>Colors</t>
    </r>
    <r>
      <rPr>
        <rFont val="Calibri"/>
        <color theme="1"/>
      </rPr>
      <t>: grey means not ready. Pink = sus</t>
    </r>
  </si>
  <si>
    <t>beng-finch-b0</t>
  </si>
  <si>
    <t>Probe average</t>
  </si>
  <si>
    <t>probe average</t>
  </si>
  <si>
    <t>Baseline models</t>
  </si>
  <si>
    <t>0.923/0.985</t>
  </si>
  <si>
    <t>0.651/0.974</t>
  </si>
  <si>
    <r>
      <rPr>
        <rFont val="Calibri"/>
        <color theme="1"/>
      </rPr>
      <t>0.857/</t>
    </r>
    <r>
      <rPr>
        <rFont val="Calibri"/>
        <b/>
        <color theme="1"/>
      </rPr>
      <t>0.955</t>
    </r>
  </si>
  <si>
    <r>
      <rPr>
        <rFont val="Calibri"/>
        <b/>
        <color theme="1"/>
      </rPr>
      <t>0.742</t>
    </r>
    <r>
      <rPr>
        <rFont val="Calibri"/>
        <b val="0"/>
        <color theme="1"/>
      </rPr>
      <t>/0.894</t>
    </r>
  </si>
  <si>
    <r>
      <rPr>
        <rFont val="Calibri"/>
        <b/>
        <color theme="1"/>
      </rPr>
      <t>0.591/</t>
    </r>
    <r>
      <rPr>
        <rFont val="Calibri"/>
        <b val="0"/>
        <color theme="1"/>
      </rPr>
      <t>0.274</t>
    </r>
  </si>
  <si>
    <r>
      <rPr>
        <rFont val="Calibri"/>
        <b val="0"/>
        <color theme="1"/>
      </rPr>
      <t>0.731</t>
    </r>
    <r>
      <rPr>
        <rFont val="Calibri"/>
        <b/>
        <color theme="1"/>
      </rPr>
      <t>/0.724</t>
    </r>
  </si>
  <si>
    <r>
      <rPr>
        <rFont val="Calibri"/>
        <b val="0"/>
        <color theme="1"/>
      </rPr>
      <t>0.648</t>
    </r>
    <r>
      <rPr>
        <rFont val="Calibri"/>
        <b/>
        <color theme="1"/>
      </rPr>
      <t>/0.548</t>
    </r>
  </si>
  <si>
    <t>0.714/0.956</t>
  </si>
  <si>
    <t>0.722/0.988</t>
  </si>
  <si>
    <r>
      <rPr>
        <rFont val="Calibri"/>
        <b val="0"/>
        <color theme="1"/>
      </rPr>
      <t>0.819</t>
    </r>
    <r>
      <rPr>
        <rFont val="Calibri"/>
        <b/>
        <color theme="1"/>
      </rPr>
      <t>/</t>
    </r>
    <r>
      <rPr>
        <rFont val="Calibri"/>
        <b val="0"/>
        <color theme="1"/>
      </rPr>
      <t>0.774</t>
    </r>
  </si>
  <si>
    <r>
      <rPr>
        <rFont val="Calibri"/>
        <b/>
        <color theme="1"/>
      </rPr>
      <t>0.841/</t>
    </r>
    <r>
      <rPr>
        <rFont val="Calibri"/>
        <b val="0"/>
        <color theme="1"/>
      </rPr>
      <t>778</t>
    </r>
  </si>
  <si>
    <t>0.351/0.267</t>
  </si>
  <si>
    <r>
      <rPr>
        <rFont val="Calibri"/>
        <b/>
        <color theme="1"/>
      </rPr>
      <t>0.862/</t>
    </r>
    <r>
      <rPr>
        <rFont val="Calibri"/>
        <b val="0"/>
        <color theme="1"/>
      </rPr>
      <t>0.627</t>
    </r>
  </si>
  <si>
    <r>
      <rPr>
        <rFont val="Calibri"/>
        <b val="0"/>
        <color theme="1"/>
      </rPr>
      <t>0.942</t>
    </r>
    <r>
      <rPr>
        <rFont val="Calibri"/>
        <b/>
        <color theme="1"/>
      </rPr>
      <t>/0.980</t>
    </r>
  </si>
  <si>
    <t>0.931/0.909</t>
  </si>
  <si>
    <r>
      <rPr>
        <rFont val="Calibri"/>
        <b/>
        <color theme="1"/>
      </rPr>
      <t>0.734/</t>
    </r>
    <r>
      <rPr>
        <rFont val="Calibri"/>
        <b val="0"/>
        <color theme="1"/>
      </rPr>
      <t>0.722</t>
    </r>
  </si>
  <si>
    <r>
      <rPr>
        <rFont val="Calibri"/>
        <b val="0"/>
        <color theme="1"/>
      </rPr>
      <t>0.655</t>
    </r>
    <r>
      <rPr>
        <rFont val="Calibri"/>
        <b/>
        <color theme="1"/>
      </rPr>
      <t>/</t>
    </r>
    <r>
      <rPr>
        <rFont val="Calibri"/>
        <b val="0"/>
        <color theme="1"/>
      </rPr>
      <t>0.528</t>
    </r>
  </si>
  <si>
    <r>
      <rPr>
        <rFont val="Calibri"/>
        <b val="0"/>
        <color theme="1"/>
      </rPr>
      <t>0.758</t>
    </r>
    <r>
      <rPr>
        <rFont val="Calibri"/>
        <b/>
        <color theme="1"/>
      </rPr>
      <t>/0.834</t>
    </r>
  </si>
  <si>
    <r>
      <rPr>
        <rFont val="Calibri"/>
        <b/>
        <color theme="1"/>
      </rPr>
      <t>0.783</t>
    </r>
    <r>
      <rPr>
        <rFont val="Calibri"/>
        <color theme="1"/>
      </rPr>
      <t>/0.291</t>
    </r>
  </si>
  <si>
    <r>
      <rPr>
        <rFont val="Calibri"/>
        <color theme="1"/>
      </rPr>
      <t>0.803/</t>
    </r>
    <r>
      <rPr>
        <rFont val="Calibri"/>
        <b/>
        <color theme="1"/>
      </rPr>
      <t>0.809</t>
    </r>
  </si>
  <si>
    <t>0.921/0.778</t>
  </si>
  <si>
    <r>
      <rPr>
        <rFont val="Calibri"/>
        <color theme="1"/>
      </rPr>
      <t>0.811/</t>
    </r>
    <r>
      <rPr>
        <rFont val="Calibri"/>
        <b/>
        <color theme="1"/>
      </rPr>
      <t>0.845</t>
    </r>
  </si>
  <si>
    <r>
      <rPr>
        <rFont val="Calibri"/>
        <b/>
        <color theme="1"/>
      </rPr>
      <t>0.945</t>
    </r>
    <r>
      <rPr>
        <rFont val="Calibri"/>
        <color theme="1"/>
      </rPr>
      <t>/0.928</t>
    </r>
  </si>
  <si>
    <r>
      <rPr>
        <rFont val="Calibri"/>
        <color theme="1"/>
      </rPr>
      <t>0.854/</t>
    </r>
    <r>
      <rPr>
        <rFont val="Calibri"/>
        <b/>
        <color theme="1"/>
      </rPr>
      <t>0.645</t>
    </r>
  </si>
  <si>
    <r>
      <rPr>
        <rFont val="Calibri"/>
        <color theme="1"/>
      </rPr>
      <t>0.585/</t>
    </r>
    <r>
      <rPr>
        <rFont val="Calibri"/>
        <b/>
        <color theme="1"/>
      </rPr>
      <t>0.277</t>
    </r>
  </si>
  <si>
    <r>
      <rPr>
        <rFont val="Calibri"/>
        <b/>
        <color theme="1"/>
      </rPr>
      <t>0.953</t>
    </r>
    <r>
      <rPr>
        <rFont val="Calibri"/>
        <color theme="1"/>
      </rPr>
      <t>/</t>
    </r>
    <r>
      <rPr>
        <rFont val="Calibri"/>
        <b/>
        <color theme="1"/>
      </rPr>
      <t>0.980</t>
    </r>
  </si>
  <si>
    <t>0.891/0.791</t>
  </si>
  <si>
    <t>0.332/0.146</t>
  </si>
  <si>
    <t>New models</t>
  </si>
  <si>
    <t>0.719/0.99</t>
  </si>
  <si>
    <r>
      <rPr>
        <rFont val="Calibri"/>
        <b/>
        <color theme="1"/>
      </rPr>
      <t>0.845</t>
    </r>
    <r>
      <rPr>
        <rFont val="Calibri"/>
        <color theme="1"/>
      </rPr>
      <t>/0.777</t>
    </r>
  </si>
  <si>
    <t>0.848/0.849</t>
  </si>
  <si>
    <t>0.381/0.228</t>
  </si>
  <si>
    <t>0.648/0.856</t>
  </si>
  <si>
    <t>0.894/0.920</t>
  </si>
  <si>
    <r>
      <rPr>
        <rFont val="Calibri"/>
        <b/>
        <color theme="1"/>
      </rPr>
      <t>0.764</t>
    </r>
    <r>
      <rPr>
        <rFont val="Calibri"/>
        <color theme="1"/>
      </rPr>
      <t>/0.813</t>
    </r>
  </si>
  <si>
    <t>0.640/0.466</t>
  </si>
  <si>
    <t>0.532/0.203</t>
  </si>
  <si>
    <t>0.558/0.333</t>
  </si>
  <si>
    <t>0.642/0.442</t>
  </si>
  <si>
    <t>.209/0.118</t>
  </si>
  <si>
    <t>0.711/0.777</t>
  </si>
  <si>
    <t>0.366/0.139</t>
  </si>
  <si>
    <t xml:space="preserve">                                                           7y7y77777y7 </t>
  </si>
  <si>
    <t>0.410/.183</t>
  </si>
  <si>
    <r>
      <rPr>
        <rFont val="Calibri"/>
        <b/>
        <color theme="1"/>
      </rPr>
      <t>0.840</t>
    </r>
    <r>
      <rPr>
        <rFont val="Calibri"/>
        <color theme="1"/>
      </rPr>
      <t>/0.778</t>
    </r>
  </si>
  <si>
    <r>
      <rPr>
        <rFont val="Calibri"/>
        <b/>
        <color theme="1"/>
      </rPr>
      <t>0.703</t>
    </r>
    <r>
      <rPr>
        <rFont val="Calibri"/>
        <color theme="1"/>
      </rPr>
      <t>/0.935</t>
    </r>
  </si>
  <si>
    <r>
      <rPr>
        <rFont val="Calibri"/>
        <color theme="1"/>
      </rPr>
      <t>0.764/</t>
    </r>
    <r>
      <rPr>
        <rFont val="Calibri"/>
        <b/>
        <color theme="1"/>
      </rPr>
      <t>0.578</t>
    </r>
  </si>
  <si>
    <r>
      <rPr>
        <rFont val="Calibri"/>
        <color theme="1"/>
      </rPr>
      <t>0.851/</t>
    </r>
    <r>
      <rPr>
        <rFont val="Calibri"/>
        <b/>
        <color theme="1"/>
      </rPr>
      <t>0.758</t>
    </r>
  </si>
  <si>
    <t>0.556/0.741</t>
  </si>
  <si>
    <t>0.812/0.708</t>
  </si>
  <si>
    <t>sl_BEATs_animalspeak_v0</t>
  </si>
  <si>
    <r>
      <rPr>
        <rFont val="Calibri"/>
        <b/>
        <color theme="1"/>
      </rPr>
      <t>0.657</t>
    </r>
    <r>
      <rPr>
        <rFont val="Calibri"/>
        <color theme="1"/>
      </rPr>
      <t>/0.487</t>
    </r>
  </si>
  <si>
    <t>0.711/0.939</t>
  </si>
  <si>
    <t>0.898/0.756</t>
  </si>
  <si>
    <t>0.824/0.767</t>
  </si>
  <si>
    <t>0.623/0.417</t>
  </si>
  <si>
    <t>0.701/0.854</t>
  </si>
  <si>
    <t>0.840/0.578</t>
  </si>
  <si>
    <t>0.953/0.990</t>
  </si>
  <si>
    <t>0.633/0.821</t>
  </si>
  <si>
    <t>sl_BEATs_all_v0</t>
  </si>
  <si>
    <r>
      <rPr>
        <rFont val="Calibri"/>
        <b/>
        <color theme="1"/>
      </rPr>
      <t>Metrics</t>
    </r>
    <r>
      <rPr>
        <rFont val="Calibri"/>
        <color theme="1"/>
      </rPr>
      <t>: Accuracy is used for classification via linear probe, mAP for linear probe detection. Metrics for retrieval are written as ROC-AUC / P@1. For clustering we report normalized mutual information/adjusted rand index</t>
    </r>
  </si>
  <si>
    <r>
      <rPr>
        <rFont val="Calibri"/>
        <b/>
        <color theme="1"/>
      </rPr>
      <t>Colors</t>
    </r>
    <r>
      <rPr>
        <rFont val="Calibri"/>
        <color theme="1"/>
      </rPr>
      <t>: grey means not ready. Pink = sus</t>
    </r>
  </si>
  <si>
    <t>0.646/0.698</t>
  </si>
  <si>
    <t>0.724/0.597</t>
  </si>
  <si>
    <r>
      <rPr>
        <rFont val="Calibri"/>
        <b/>
        <color theme="1"/>
      </rPr>
      <t>0.625</t>
    </r>
    <r>
      <rPr>
        <rFont val="Calibri"/>
        <color theme="1"/>
      </rPr>
      <t>/0.741</t>
    </r>
  </si>
  <si>
    <t>0.712/0.628</t>
  </si>
  <si>
    <t>0.585/0.44</t>
  </si>
  <si>
    <t>0.584/0.446</t>
  </si>
  <si>
    <t>0.809/0.722</t>
  </si>
  <si>
    <t>0.714/0.281</t>
  </si>
  <si>
    <t>0.692/0.717</t>
  </si>
  <si>
    <t>0.631/.462</t>
  </si>
  <si>
    <t>0.719/0.571</t>
  </si>
  <si>
    <r>
      <rPr>
        <rFont val="Calibri"/>
        <color theme="1"/>
      </rPr>
      <t>0.857/</t>
    </r>
    <r>
      <rPr>
        <rFont val="Calibri"/>
        <b/>
        <color theme="1"/>
      </rPr>
      <t>0.955</t>
    </r>
  </si>
  <si>
    <t>0.742/0.894</t>
  </si>
  <si>
    <r>
      <rPr>
        <rFont val="Calibri"/>
        <b/>
        <color theme="1"/>
      </rPr>
      <t>0.591/</t>
    </r>
    <r>
      <rPr>
        <rFont val="Calibri"/>
        <b val="0"/>
        <color theme="1"/>
      </rPr>
      <t>0.274</t>
    </r>
  </si>
  <si>
    <t>0.733/0.534</t>
  </si>
  <si>
    <t>0.645/0.755</t>
  </si>
  <si>
    <t>0.873/0.861</t>
  </si>
  <si>
    <t>0.753/0.349</t>
  </si>
  <si>
    <r>
      <rPr>
        <rFont val="Calibri"/>
        <b val="0"/>
        <color theme="1"/>
      </rPr>
      <t>0.730</t>
    </r>
    <r>
      <rPr>
        <rFont val="Calibri"/>
        <b/>
        <color theme="1"/>
      </rPr>
      <t>/0.756</t>
    </r>
  </si>
  <si>
    <r>
      <rPr>
        <rFont val="Calibri"/>
        <b val="0"/>
        <color theme="1"/>
      </rPr>
      <t>0.648</t>
    </r>
    <r>
      <rPr>
        <rFont val="Calibri"/>
        <b/>
        <color theme="1"/>
      </rPr>
      <t>/0.544</t>
    </r>
  </si>
  <si>
    <t>0.676/0.712</t>
  </si>
  <si>
    <r>
      <rPr>
        <rFont val="Calibri"/>
        <b/>
        <color theme="1"/>
      </rPr>
      <t>0.701/</t>
    </r>
    <r>
      <rPr>
        <rFont val="Calibri"/>
        <b/>
        <color theme="1"/>
      </rPr>
      <t>0.952</t>
    </r>
  </si>
  <si>
    <t>0.770/0.573</t>
  </si>
  <si>
    <t>0.891/0.747</t>
  </si>
  <si>
    <r>
      <rPr>
        <rFont val="Calibri"/>
        <b val="0"/>
        <color theme="1"/>
      </rPr>
      <t>0.819</t>
    </r>
    <r>
      <rPr>
        <rFont val="Calibri"/>
        <b/>
        <color theme="1"/>
      </rPr>
      <t>/</t>
    </r>
    <r>
      <rPr>
        <rFont val="Calibri"/>
        <b val="0"/>
        <color theme="1"/>
      </rPr>
      <t>0.774</t>
    </r>
  </si>
  <si>
    <r>
      <rPr>
        <rFont val="Calibri"/>
        <color theme="1"/>
      </rPr>
      <t>0.574/</t>
    </r>
    <r>
      <rPr>
        <rFont val="Calibri"/>
        <b/>
        <color theme="1"/>
      </rPr>
      <t>0.776</t>
    </r>
  </si>
  <si>
    <r>
      <rPr>
        <rFont val="Calibri"/>
        <b/>
        <color theme="1"/>
      </rPr>
      <t>0.841/</t>
    </r>
    <r>
      <rPr>
        <rFont val="Calibri"/>
        <b val="0"/>
        <color theme="1"/>
      </rPr>
      <t>778</t>
    </r>
  </si>
  <si>
    <r>
      <rPr>
        <rFont val="Calibri"/>
        <b/>
        <color theme="1"/>
      </rPr>
      <t>0.862/</t>
    </r>
    <r>
      <rPr>
        <rFont val="Calibri"/>
        <b val="0"/>
        <color theme="1"/>
      </rPr>
      <t>0.627</t>
    </r>
  </si>
  <si>
    <r>
      <rPr>
        <rFont val="Calibri"/>
        <b val="0"/>
        <color theme="1"/>
      </rPr>
      <t>0.942</t>
    </r>
    <r>
      <rPr>
        <rFont val="Calibri"/>
        <b/>
        <color theme="1"/>
      </rPr>
      <t>/0.980</t>
    </r>
  </si>
  <si>
    <r>
      <rPr>
        <rFont val="Calibri"/>
        <b/>
        <color theme="1"/>
      </rPr>
      <t>0.734/</t>
    </r>
    <r>
      <rPr>
        <rFont val="Calibri"/>
        <b val="0"/>
        <color theme="1"/>
      </rPr>
      <t>0.722</t>
    </r>
  </si>
  <si>
    <r>
      <rPr>
        <rFont val="Calibri"/>
        <b/>
        <color theme="1"/>
      </rPr>
      <t>0.655/</t>
    </r>
    <r>
      <rPr>
        <rFont val="Calibri"/>
        <b val="0"/>
        <color theme="1"/>
      </rPr>
      <t>0.528</t>
    </r>
  </si>
  <si>
    <t>0.771/0.587</t>
  </si>
  <si>
    <t>0.868/0.714</t>
  </si>
  <si>
    <t>0.628/0.621</t>
  </si>
  <si>
    <t>0.758/0.834</t>
  </si>
  <si>
    <r>
      <rPr>
        <rFont val="Calibri"/>
        <b/>
        <color theme="1"/>
      </rPr>
      <t>0.783</t>
    </r>
    <r>
      <rPr>
        <rFont val="Calibri"/>
        <color theme="1"/>
      </rPr>
      <t>/0.291</t>
    </r>
  </si>
  <si>
    <t>0.792/0.640</t>
  </si>
  <si>
    <r>
      <rPr>
        <rFont val="Calibri"/>
        <color theme="1"/>
      </rPr>
      <t>0.803/</t>
    </r>
    <r>
      <rPr>
        <rFont val="Calibri"/>
        <b/>
        <color theme="1"/>
      </rPr>
      <t>0.809</t>
    </r>
  </si>
  <si>
    <r>
      <rPr>
        <rFont val="Calibri"/>
        <color theme="1"/>
      </rPr>
      <t>0.811/</t>
    </r>
    <r>
      <rPr>
        <rFont val="Calibri"/>
        <b/>
        <color theme="1"/>
      </rPr>
      <t>0.845</t>
    </r>
  </si>
  <si>
    <r>
      <rPr>
        <rFont val="Calibri"/>
        <b/>
        <color theme="1"/>
      </rPr>
      <t>0.945</t>
    </r>
    <r>
      <rPr>
        <rFont val="Calibri"/>
        <color theme="1"/>
      </rPr>
      <t>/0.928</t>
    </r>
  </si>
  <si>
    <r>
      <rPr>
        <rFont val="Calibri"/>
        <color theme="1"/>
      </rPr>
      <t>0.854/</t>
    </r>
    <r>
      <rPr>
        <rFont val="Calibri"/>
        <b/>
        <color theme="1"/>
      </rPr>
      <t>0.645</t>
    </r>
  </si>
  <si>
    <r>
      <rPr>
        <rFont val="Calibri"/>
        <color theme="1"/>
      </rPr>
      <t>0.585/</t>
    </r>
    <r>
      <rPr>
        <rFont val="Calibri"/>
        <b/>
        <color theme="1"/>
      </rPr>
      <t>0.277</t>
    </r>
  </si>
  <si>
    <r>
      <rPr>
        <rFont val="Calibri"/>
        <b/>
        <color theme="1"/>
      </rPr>
      <t>0.953</t>
    </r>
    <r>
      <rPr>
        <rFont val="Calibri"/>
        <color theme="1"/>
      </rPr>
      <t>/</t>
    </r>
    <r>
      <rPr>
        <rFont val="Calibri"/>
        <b/>
        <color theme="1"/>
      </rPr>
      <t>0.980</t>
    </r>
  </si>
  <si>
    <t>0.705/0.675</t>
  </si>
  <si>
    <t>0.645/0.457</t>
  </si>
  <si>
    <t>0.729/0.905</t>
  </si>
  <si>
    <t>0.846/625</t>
  </si>
  <si>
    <r>
      <rPr>
        <rFont val="Calibri"/>
        <b/>
        <color theme="1"/>
      </rPr>
      <t>0.598</t>
    </r>
    <r>
      <rPr>
        <rFont val="Calibri"/>
        <color theme="1"/>
      </rPr>
      <t>/0.253</t>
    </r>
  </si>
  <si>
    <t>0.897/0.805</t>
  </si>
  <si>
    <t>0.911/0.734</t>
  </si>
  <si>
    <t>0.689/0.676</t>
  </si>
  <si>
    <t>0.632/0.434</t>
  </si>
  <si>
    <t>0.751/0.834</t>
  </si>
  <si>
    <t>0.756/0.252</t>
  </si>
  <si>
    <t>0.542/0.446</t>
  </si>
  <si>
    <t>0.881/0.729</t>
  </si>
  <si>
    <t>0.671/0.173</t>
  </si>
  <si>
    <t>0.662/0.635</t>
  </si>
  <si>
    <t>0.607/0.357</t>
  </si>
  <si>
    <t>0.663/0.561</t>
  </si>
  <si>
    <t>0.782/0.743</t>
  </si>
  <si>
    <t>0.767/0.420</t>
  </si>
  <si>
    <t>EffNetB0-all-e15</t>
  </si>
  <si>
    <t>0.891/0.772</t>
  </si>
  <si>
    <t>0.910/0.737</t>
  </si>
  <si>
    <t>0.709/0.655</t>
  </si>
  <si>
    <t>0.647/0.475</t>
  </si>
  <si>
    <t>0.760/0.813</t>
  </si>
  <si>
    <r>
      <rPr>
        <rFont val="Calibri"/>
        <b/>
        <color theme="1"/>
      </rPr>
      <t>0.840</t>
    </r>
    <r>
      <rPr>
        <rFont val="Calibri"/>
        <color theme="1"/>
      </rPr>
      <t>/0.778</t>
    </r>
  </si>
  <si>
    <r>
      <rPr>
        <rFont val="Calibri"/>
        <b/>
        <color theme="1"/>
      </rPr>
      <t>0.703</t>
    </r>
    <r>
      <rPr>
        <rFont val="Calibri"/>
        <color theme="1"/>
      </rPr>
      <t>/0.935</t>
    </r>
  </si>
  <si>
    <r>
      <rPr>
        <rFont val="Calibri"/>
        <color theme="1"/>
      </rPr>
      <t>0.764/</t>
    </r>
    <r>
      <rPr>
        <rFont val="Calibri"/>
        <b/>
        <color theme="1"/>
      </rPr>
      <t>0.578</t>
    </r>
  </si>
  <si>
    <r>
      <rPr>
        <rFont val="Calibri"/>
        <color theme="1"/>
      </rPr>
      <t>0.851/</t>
    </r>
    <r>
      <rPr>
        <rFont val="Calibri"/>
        <b/>
        <color theme="1"/>
      </rPr>
      <t>0.758</t>
    </r>
  </si>
  <si>
    <t>0.798/0.746</t>
  </si>
  <si>
    <t>0.633/0.196</t>
  </si>
  <si>
    <t>0.719/0.744</t>
  </si>
  <si>
    <t>0.491/0.281</t>
  </si>
  <si>
    <t>0.632/0.504</t>
  </si>
  <si>
    <t>0.697/0.972</t>
  </si>
  <si>
    <t>0.968/0.604</t>
  </si>
  <si>
    <t>0.733/0.617</t>
  </si>
  <si>
    <t>0.631/0.191</t>
  </si>
  <si>
    <t>0.513/0.023</t>
  </si>
  <si>
    <t>0.583/0.432</t>
  </si>
  <si>
    <t>0.199/0.029</t>
  </si>
  <si>
    <t>EAT-warm-e22 (pre)</t>
  </si>
  <si>
    <t>0.730/0.661</t>
  </si>
  <si>
    <t>0.614/0.183</t>
  </si>
  <si>
    <t>0.599/0.743</t>
  </si>
  <si>
    <t>0.606/0.464</t>
  </si>
  <si>
    <t>0.583/0.489</t>
  </si>
  <si>
    <t>Type</t>
  </si>
  <si>
    <t>backbone</t>
  </si>
  <si>
    <t>Dataset</t>
  </si>
  <si>
    <t>Location</t>
  </si>
  <si>
    <t>SL</t>
  </si>
  <si>
    <t>EffNet</t>
  </si>
  <si>
    <t>AnimalSpeak</t>
  </si>
  <si>
    <t>runs/efficientnet_animalspeak_audioset/2025-07-10_05-17-26/checkpoint_epoch_008.pt</t>
  </si>
  <si>
    <t>AnimalSpeak + AudioSet</t>
  </si>
  <si>
    <t>runs/aaai/sl_efficientnet_animalspeak_audioset/2025-07-10_03-15-39/checkpoint_epoch_006.pt</t>
  </si>
  <si>
    <r>
      <rPr>
        <rFont val="Calibri"/>
        <b/>
        <color theme="1"/>
      </rPr>
      <t>Metrics</t>
    </r>
    <r>
      <rPr>
        <rFont val="Calibri"/>
        <color theme="1"/>
      </rPr>
      <t>: Accuracy is used for classification via linear probe, mAP for linear probe detection. Metrics for retrieval are written as ROC-AUC / P@1. For clustering we report normalized mutual information/adjusted rand index</t>
    </r>
  </si>
  <si>
    <r>
      <rPr>
        <rFont val="Calibri"/>
        <b/>
        <color theme="1"/>
      </rPr>
      <t>Colors</t>
    </r>
    <r>
      <rPr>
        <rFont val="Calibri"/>
        <color theme="1"/>
      </rPr>
      <t>: grey means not ready. Pink = sus</t>
    </r>
  </si>
  <si>
    <r>
      <rPr>
        <rFont val="Calibri"/>
        <color theme="1"/>
      </rPr>
      <t>0.857/</t>
    </r>
    <r>
      <rPr>
        <rFont val="Calibri"/>
        <b/>
        <color theme="1"/>
      </rPr>
      <t>0.955</t>
    </r>
  </si>
  <si>
    <r>
      <rPr>
        <rFont val="Calibri"/>
        <b/>
        <color theme="1"/>
      </rPr>
      <t>0.742</t>
    </r>
    <r>
      <rPr>
        <rFont val="Calibri"/>
        <b val="0"/>
        <color theme="1"/>
      </rPr>
      <t>/0.894</t>
    </r>
  </si>
  <si>
    <r>
      <rPr>
        <rFont val="Calibri"/>
        <b/>
        <color theme="1"/>
      </rPr>
      <t>0.591/</t>
    </r>
    <r>
      <rPr>
        <rFont val="Calibri"/>
        <b val="0"/>
        <color theme="1"/>
      </rPr>
      <t>0.274</t>
    </r>
  </si>
  <si>
    <r>
      <rPr>
        <rFont val="Calibri"/>
        <b val="0"/>
        <color theme="1"/>
      </rPr>
      <t>0.731</t>
    </r>
    <r>
      <rPr>
        <rFont val="Calibri"/>
        <b/>
        <color theme="1"/>
      </rPr>
      <t>/0.724</t>
    </r>
  </si>
  <si>
    <r>
      <rPr>
        <rFont val="Calibri"/>
        <b val="0"/>
        <color theme="1"/>
      </rPr>
      <t>0.648</t>
    </r>
    <r>
      <rPr>
        <rFont val="Calibri"/>
        <b/>
        <color theme="1"/>
      </rPr>
      <t>/0.548</t>
    </r>
  </si>
  <si>
    <r>
      <rPr>
        <rFont val="Calibri"/>
        <b/>
        <color theme="1"/>
      </rPr>
      <t>0.714/</t>
    </r>
    <r>
      <rPr>
        <rFont val="Calibri"/>
        <b val="0"/>
        <color theme="1"/>
      </rPr>
      <t>0.956</t>
    </r>
  </si>
  <si>
    <r>
      <rPr>
        <rFont val="Calibri"/>
        <b/>
        <color theme="1"/>
      </rPr>
      <t>0.722/</t>
    </r>
    <r>
      <rPr>
        <rFont val="Calibri"/>
        <b val="0"/>
        <color theme="1"/>
      </rPr>
      <t>0.988</t>
    </r>
  </si>
  <si>
    <r>
      <rPr>
        <rFont val="Calibri"/>
        <b val="0"/>
        <color theme="1"/>
      </rPr>
      <t>0.819</t>
    </r>
    <r>
      <rPr>
        <rFont val="Calibri"/>
        <b/>
        <color theme="1"/>
      </rPr>
      <t>/</t>
    </r>
    <r>
      <rPr>
        <rFont val="Calibri"/>
        <b val="0"/>
        <color theme="1"/>
      </rPr>
      <t>0.774</t>
    </r>
  </si>
  <si>
    <r>
      <rPr>
        <rFont val="Calibri"/>
        <b val="0"/>
        <color theme="1"/>
      </rPr>
      <t>0.841</t>
    </r>
    <r>
      <rPr>
        <rFont val="Calibri"/>
        <b/>
        <color theme="1"/>
      </rPr>
      <t>/</t>
    </r>
    <r>
      <rPr>
        <rFont val="Calibri"/>
        <b val="0"/>
        <color theme="1"/>
      </rPr>
      <t>0.778</t>
    </r>
  </si>
  <si>
    <r>
      <rPr>
        <rFont val="Calibri"/>
        <color theme="1"/>
      </rPr>
      <t>0.351/</t>
    </r>
    <r>
      <rPr>
        <rFont val="Calibri"/>
        <b/>
        <color theme="1"/>
      </rPr>
      <t>0.267</t>
    </r>
  </si>
  <si>
    <r>
      <rPr>
        <rFont val="Calibri"/>
        <b/>
        <color theme="1"/>
      </rPr>
      <t>0.862/</t>
    </r>
    <r>
      <rPr>
        <rFont val="Calibri"/>
        <b val="0"/>
        <color theme="1"/>
      </rPr>
      <t>0.627</t>
    </r>
  </si>
  <si>
    <r>
      <rPr>
        <rFont val="Calibri"/>
        <b val="0"/>
        <color theme="1"/>
      </rPr>
      <t>0.942</t>
    </r>
    <r>
      <rPr>
        <rFont val="Calibri"/>
        <b/>
        <color theme="1"/>
      </rPr>
      <t>/</t>
    </r>
    <r>
      <rPr>
        <rFont val="Calibri"/>
        <b val="0"/>
        <color theme="1"/>
      </rPr>
      <t>0.980</t>
    </r>
  </si>
  <si>
    <r>
      <rPr>
        <rFont val="Calibri"/>
        <b/>
        <color theme="1"/>
      </rPr>
      <t>0.734/</t>
    </r>
    <r>
      <rPr>
        <rFont val="Calibri"/>
        <b val="0"/>
        <color theme="1"/>
      </rPr>
      <t>0.722</t>
    </r>
  </si>
  <si>
    <r>
      <rPr>
        <rFont val="Calibri"/>
        <b val="0"/>
        <color theme="1"/>
      </rPr>
      <t>0.655</t>
    </r>
    <r>
      <rPr>
        <rFont val="Calibri"/>
        <b/>
        <color theme="1"/>
      </rPr>
      <t>/</t>
    </r>
    <r>
      <rPr>
        <rFont val="Calibri"/>
        <b val="0"/>
        <color theme="1"/>
      </rPr>
      <t>0.528</t>
    </r>
  </si>
  <si>
    <r>
      <rPr>
        <rFont val="Calibri"/>
        <b val="0"/>
        <color theme="1"/>
      </rPr>
      <t>0.758</t>
    </r>
    <r>
      <rPr>
        <rFont val="Calibri"/>
        <b/>
        <color theme="1"/>
      </rPr>
      <t>/0.834</t>
    </r>
  </si>
  <si>
    <r>
      <rPr>
        <rFont val="Calibri"/>
        <b/>
        <color theme="1"/>
      </rPr>
      <t>0.783</t>
    </r>
    <r>
      <rPr>
        <rFont val="Calibri"/>
        <color theme="1"/>
      </rPr>
      <t>/0.291</t>
    </r>
  </si>
  <si>
    <r>
      <rPr>
        <rFont val="Calibri"/>
        <color theme="1"/>
      </rPr>
      <t>0.803/</t>
    </r>
    <r>
      <rPr>
        <rFont val="Calibri"/>
        <b/>
        <color theme="1"/>
      </rPr>
      <t>0.809</t>
    </r>
  </si>
  <si>
    <r>
      <rPr>
        <rFont val="Calibri"/>
        <b/>
        <color theme="1"/>
      </rPr>
      <t>0.945</t>
    </r>
    <r>
      <rPr>
        <rFont val="Calibri"/>
        <color theme="1"/>
      </rPr>
      <t>/0.928</t>
    </r>
  </si>
  <si>
    <r>
      <rPr>
        <rFont val="Calibri"/>
        <color theme="1"/>
      </rPr>
      <t>0.854/</t>
    </r>
    <r>
      <rPr>
        <rFont val="Calibri"/>
        <b/>
        <color theme="1"/>
      </rPr>
      <t>0.645</t>
    </r>
  </si>
  <si>
    <r>
      <rPr>
        <rFont val="Calibri"/>
        <color theme="1"/>
      </rPr>
      <t>0.585/</t>
    </r>
    <r>
      <rPr>
        <rFont val="Calibri"/>
        <b/>
        <color theme="1"/>
      </rPr>
      <t>0.277</t>
    </r>
  </si>
  <si>
    <r>
      <rPr>
        <rFont val="Calibri"/>
        <color theme="1"/>
      </rPr>
      <t>0.719/</t>
    </r>
    <r>
      <rPr>
        <rFont val="Calibri"/>
        <b/>
        <color theme="1"/>
      </rPr>
      <t>0.99</t>
    </r>
  </si>
  <si>
    <r>
      <rPr>
        <rFont val="Calibri"/>
        <b/>
        <color theme="1"/>
      </rPr>
      <t>0.845</t>
    </r>
    <r>
      <rPr>
        <rFont val="Calibri"/>
        <color theme="1"/>
      </rPr>
      <t>/0.777</t>
    </r>
  </si>
  <si>
    <r>
      <rPr>
        <rFont val="Calibri"/>
        <b/>
        <color theme="1"/>
      </rPr>
      <t>0.848</t>
    </r>
    <r>
      <rPr>
        <rFont val="Calibri"/>
        <b/>
        <color theme="1"/>
      </rPr>
      <t>/0.849</t>
    </r>
  </si>
  <si>
    <r>
      <rPr>
        <rFont val="Calibri"/>
        <b/>
        <color theme="1"/>
      </rPr>
      <t>0.381</t>
    </r>
    <r>
      <rPr>
        <rFont val="Calibri"/>
        <color theme="1"/>
      </rPr>
      <t>/0.228</t>
    </r>
  </si>
  <si>
    <r>
      <rPr>
        <rFont val="Calibri"/>
        <b/>
        <color theme="1"/>
      </rPr>
      <t>0.955</t>
    </r>
    <r>
      <rPr>
        <rFont val="Calibri"/>
        <color theme="1"/>
      </rPr>
      <t>/0.975</t>
    </r>
  </si>
  <si>
    <t>0.916/0.935</t>
  </si>
  <si>
    <r>
      <rPr>
        <rFont val="Calibri"/>
        <color theme="1"/>
      </rPr>
      <t>0.894/</t>
    </r>
    <r>
      <rPr>
        <rFont val="Calibri"/>
        <b/>
        <color theme="1"/>
      </rPr>
      <t>0.920</t>
    </r>
  </si>
  <si>
    <r>
      <rPr>
        <rFont val="Calibri"/>
        <b/>
        <color theme="1"/>
      </rPr>
      <t>0.764</t>
    </r>
    <r>
      <rPr>
        <rFont val="Calibri"/>
        <color theme="1"/>
      </rPr>
      <t>/0.813</t>
    </r>
  </si>
  <si>
    <r>
      <rPr>
        <rFont val="Calibri"/>
        <color theme="1"/>
      </rPr>
      <t>0.640/</t>
    </r>
    <r>
      <rPr>
        <rFont val="Calibri"/>
        <b/>
        <color theme="1"/>
      </rPr>
      <t>0.466</t>
    </r>
  </si>
  <si>
    <r>
      <rPr>
        <rFont val="Calibri"/>
        <b/>
        <color theme="1"/>
      </rPr>
      <t>0.840</t>
    </r>
    <r>
      <rPr>
        <rFont val="Calibri"/>
        <color theme="1"/>
      </rPr>
      <t>/0.778</t>
    </r>
  </si>
  <si>
    <r>
      <rPr>
        <rFont val="Calibri"/>
        <b/>
        <color theme="1"/>
      </rPr>
      <t>0.703</t>
    </r>
    <r>
      <rPr>
        <rFont val="Calibri"/>
        <color theme="1"/>
      </rPr>
      <t>/0.935</t>
    </r>
  </si>
  <si>
    <r>
      <rPr>
        <rFont val="Calibri"/>
        <color theme="1"/>
      </rPr>
      <t>0.764/</t>
    </r>
    <r>
      <rPr>
        <rFont val="Calibri"/>
        <b/>
        <color theme="1"/>
      </rPr>
      <t>0.578</t>
    </r>
  </si>
  <si>
    <r>
      <rPr>
        <rFont val="Calibri"/>
        <color theme="1"/>
      </rPr>
      <t>0.851/</t>
    </r>
    <r>
      <rPr>
        <rFont val="Calibri"/>
        <b/>
        <color theme="1"/>
      </rPr>
      <t>0.758</t>
    </r>
  </si>
  <si>
    <r>
      <rPr>
        <rFont val="Calibri"/>
        <color theme="1"/>
      </rPr>
      <t>0.812/</t>
    </r>
    <r>
      <rPr>
        <rFont val="Calibri"/>
        <b/>
        <color theme="1"/>
      </rPr>
      <t>0.708</t>
    </r>
  </si>
  <si>
    <r>
      <rPr>
        <rFont val="Calibri"/>
        <b/>
        <color theme="1"/>
      </rPr>
      <t>0.657</t>
    </r>
    <r>
      <rPr>
        <rFont val="Calibri"/>
        <color theme="1"/>
      </rPr>
      <t>/0.487</t>
    </r>
  </si>
  <si>
    <r>
      <rPr>
        <rFont val="Calibri"/>
        <color theme="1"/>
      </rPr>
      <t>0.898/</t>
    </r>
    <r>
      <rPr>
        <rFont val="Calibri"/>
        <b/>
        <color theme="1"/>
      </rPr>
      <t>0.756</t>
    </r>
  </si>
  <si>
    <r>
      <rPr>
        <rFont val="Calibri"/>
        <b/>
        <color theme="1"/>
      </rPr>
      <t>0.716/</t>
    </r>
    <r>
      <rPr>
        <rFont val="Calibri"/>
        <b val="0"/>
        <color theme="1"/>
      </rPr>
      <t>0.940</t>
    </r>
  </si>
  <si>
    <r>
      <rPr>
        <rFont val="Calibri"/>
        <b/>
        <color theme="1"/>
      </rPr>
      <t>0.906</t>
    </r>
    <r>
      <rPr>
        <rFont val="Calibri"/>
        <color theme="1"/>
      </rPr>
      <t>/0.752</t>
    </r>
  </si>
  <si>
    <r>
      <rPr>
        <rFont val="Calibri"/>
        <b/>
        <color theme="1"/>
      </rPr>
      <t>0.737</t>
    </r>
    <r>
      <rPr>
        <rFont val="Calibri"/>
        <color theme="1"/>
      </rPr>
      <t>/0.783</t>
    </r>
  </si>
  <si>
    <r>
      <rPr>
        <rFont val="Calibri"/>
        <color theme="1"/>
      </rPr>
      <t>0.954/</t>
    </r>
    <r>
      <rPr>
        <rFont val="Calibri"/>
        <b/>
        <color theme="1"/>
      </rPr>
      <t>0.995</t>
    </r>
  </si>
  <si>
    <r>
      <rPr>
        <rFont val="Calibri"/>
        <b/>
        <color theme="1"/>
      </rPr>
      <t>0.945</t>
    </r>
    <r>
      <rPr>
        <rFont val="Calibri"/>
        <b val="0"/>
        <color theme="1"/>
      </rPr>
      <t>/0.885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</si>
</sst>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/>
    <font>
      <color theme="1"/>
      <name val="Arial"/>
    </font>
    <font>
      <color rgb="FF000000"/>
      <name val="Calibri"/>
    </font>
    <font>
      <color rgb="FF000000"/>
      <name val="Calibri"/>
      <scheme val="minor"/>
    </font>
    <font>
      <b/>
      <color theme="1"/>
      <name val="Arial"/>
    </font>
    <font>
      <b/>
      <color rgb="FF000000"/>
      <name val="Calibri"/>
      <scheme val="minor"/>
    </font>
  </fonts>
  <fills count="24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D467"/>
        <bgColor rgb="FFFED467"/>
      </patternFill>
    </fill>
    <fill>
      <patternFill patternType="solid">
        <fgColor rgb="FFFFD966"/>
        <bgColor rgb="FFFFD966"/>
      </patternFill>
    </fill>
    <fill>
      <patternFill patternType="solid">
        <fgColor rgb="FFFED667"/>
        <bgColor rgb="FFFED667"/>
      </patternFill>
    </fill>
    <fill>
      <patternFill patternType="solid">
        <fgColor rgb="FFE8D569"/>
        <bgColor rgb="FFE8D569"/>
      </patternFill>
    </fill>
    <fill>
      <patternFill patternType="solid">
        <fgColor rgb="FFD0D16C"/>
        <bgColor rgb="FFD0D16C"/>
      </patternFill>
    </fill>
    <fill>
      <patternFill patternType="solid">
        <fgColor rgb="FFFED867"/>
        <bgColor rgb="FFFED867"/>
      </patternFill>
    </fill>
    <fill>
      <patternFill patternType="solid">
        <fgColor rgb="FFDBD36A"/>
        <bgColor rgb="FFDBD36A"/>
      </patternFill>
    </fill>
    <fill>
      <patternFill patternType="solid">
        <fgColor rgb="FFFED567"/>
        <bgColor rgb="FFFED567"/>
      </patternFill>
    </fill>
    <fill>
      <patternFill patternType="solid">
        <fgColor rgb="FFFED367"/>
        <bgColor rgb="FFFED367"/>
      </patternFill>
    </fill>
    <fill>
      <patternFill patternType="solid">
        <fgColor rgb="FFF8D866"/>
        <bgColor rgb="FFF8D866"/>
      </patternFill>
    </fill>
    <fill>
      <patternFill patternType="solid">
        <fgColor rgb="FFB9CD6F"/>
        <bgColor rgb="FFB9CD6F"/>
      </patternFill>
    </fill>
    <fill>
      <patternFill patternType="solid">
        <fgColor rgb="FFF8D867"/>
        <bgColor rgb="FFF8D867"/>
      </patternFill>
    </fill>
    <fill>
      <patternFill patternType="solid">
        <fgColor rgb="FFBCCE6F"/>
        <bgColor rgb="FFBCCE6F"/>
      </patternFill>
    </fill>
    <fill>
      <patternFill patternType="solid">
        <fgColor rgb="FFC3CF6E"/>
        <bgColor rgb="FFC3CF6E"/>
      </patternFill>
    </fill>
    <fill>
      <patternFill patternType="solid">
        <fgColor rgb="FF8DC675"/>
        <bgColor rgb="FF8DC675"/>
      </patternFill>
    </fill>
    <fill>
      <patternFill patternType="solid">
        <fgColor rgb="FFFBA669"/>
        <bgColor rgb="FFFBA669"/>
      </patternFill>
    </fill>
    <fill>
      <patternFill patternType="solid">
        <fgColor rgb="FFE2D469"/>
        <bgColor rgb="FFE2D469"/>
      </patternFill>
    </fill>
    <fill>
      <patternFill patternType="solid">
        <fgColor rgb="FFE4D569"/>
        <bgColor rgb="FFE4D569"/>
      </patternFill>
    </fill>
    <fill>
      <patternFill patternType="solid">
        <fgColor rgb="FFB5CD70"/>
        <bgColor rgb="FFB5CD70"/>
      </patternFill>
    </fill>
    <fill>
      <patternFill patternType="solid">
        <fgColor rgb="FFB2CC70"/>
        <bgColor rgb="FFB2CC70"/>
      </patternFill>
    </fill>
    <fill>
      <patternFill patternType="solid">
        <fgColor rgb="FF77C278"/>
        <bgColor rgb="FF77C278"/>
      </patternFill>
    </fill>
    <fill>
      <patternFill patternType="solid">
        <fgColor rgb="FF78C278"/>
        <bgColor rgb="FF78C278"/>
      </patternFill>
    </fill>
    <fill>
      <patternFill patternType="solid">
        <fgColor rgb="FFEED668"/>
        <bgColor rgb="FFEED668"/>
      </patternFill>
    </fill>
    <fill>
      <patternFill patternType="solid">
        <fgColor rgb="FFD4D26B"/>
        <bgColor rgb="FFD4D26B"/>
      </patternFill>
    </fill>
    <fill>
      <patternFill patternType="solid">
        <fgColor rgb="FFD8D36B"/>
        <bgColor rgb="FFD8D36B"/>
      </patternFill>
    </fill>
    <fill>
      <patternFill patternType="solid">
        <fgColor rgb="FFFECA67"/>
        <bgColor rgb="FFFECA67"/>
      </patternFill>
    </fill>
    <fill>
      <patternFill patternType="solid">
        <fgColor rgb="FF63BE7B"/>
        <bgColor rgb="FF63BE7B"/>
      </patternFill>
    </fill>
    <fill>
      <patternFill patternType="solid">
        <fgColor rgb="FF6FC179"/>
        <bgColor rgb="FF6FC179"/>
      </patternFill>
    </fill>
    <fill>
      <patternFill patternType="solid">
        <fgColor rgb="FF83C476"/>
        <bgColor rgb="FF83C476"/>
      </patternFill>
    </fill>
    <fill>
      <patternFill patternType="solid">
        <fgColor rgb="FF74C178"/>
        <bgColor rgb="FF74C178"/>
      </patternFill>
    </fill>
    <fill>
      <patternFill patternType="solid">
        <fgColor rgb="FF7BC377"/>
        <bgColor rgb="FF7BC377"/>
      </patternFill>
    </fill>
    <fill>
      <patternFill patternType="solid">
        <fgColor rgb="FF80C377"/>
        <bgColor rgb="FF80C377"/>
      </patternFill>
    </fill>
    <fill>
      <patternFill patternType="solid">
        <fgColor rgb="FFFBA569"/>
        <bgColor rgb="FFFBA569"/>
      </patternFill>
    </fill>
    <fill>
      <patternFill patternType="solid">
        <fgColor rgb="FFFECD67"/>
        <bgColor rgb="FFFECD67"/>
      </patternFill>
    </fill>
    <fill>
      <patternFill patternType="solid">
        <fgColor rgb="FFFECF67"/>
        <bgColor rgb="FFFECF67"/>
      </patternFill>
    </fill>
    <fill>
      <patternFill patternType="solid">
        <fgColor rgb="FFFDC867"/>
        <bgColor rgb="FFFDC867"/>
      </patternFill>
    </fill>
    <fill>
      <patternFill patternType="solid">
        <fgColor rgb="FFFCB368"/>
        <bgColor rgb="FFFCB368"/>
      </patternFill>
    </fill>
    <fill>
      <patternFill patternType="solid">
        <fgColor rgb="FFFDB968"/>
        <bgColor rgb="FFFDB968"/>
      </patternFill>
    </fill>
    <fill>
      <patternFill patternType="solid">
        <fgColor rgb="FFF1D767"/>
        <bgColor rgb="FFF1D767"/>
      </patternFill>
    </fill>
    <fill>
      <patternFill patternType="solid">
        <fgColor rgb="FFFEC967"/>
        <bgColor rgb="FFFEC967"/>
      </patternFill>
    </fill>
    <fill>
      <patternFill patternType="solid">
        <fgColor rgb="FFFED767"/>
        <bgColor rgb="FFFED767"/>
      </patternFill>
    </fill>
    <fill>
      <patternFill patternType="solid">
        <fgColor rgb="FFFED267"/>
        <bgColor rgb="FFFED267"/>
      </patternFill>
    </fill>
    <fill>
      <patternFill patternType="solid">
        <fgColor rgb="FFFECC67"/>
        <bgColor rgb="FFFECC67"/>
      </patternFill>
    </fill>
    <fill>
      <patternFill patternType="solid">
        <fgColor rgb="FFFECE67"/>
        <bgColor rgb="FFFECE67"/>
      </patternFill>
    </fill>
    <fill>
      <patternFill patternType="solid">
        <fgColor rgb="FFFDC367"/>
        <bgColor rgb="FFFDC367"/>
      </patternFill>
    </fill>
    <fill>
      <patternFill patternType="solid">
        <fgColor rgb="FFFCB568"/>
        <bgColor rgb="FFFCB568"/>
      </patternFill>
    </fill>
    <fill>
      <patternFill patternType="solid">
        <fgColor rgb="FF85C476"/>
        <bgColor rgb="FF85C476"/>
      </patternFill>
    </fill>
    <fill>
      <patternFill patternType="solid">
        <fgColor rgb="FFFB9F69"/>
        <bgColor rgb="FFFB9F69"/>
      </patternFill>
    </fill>
    <fill>
      <patternFill patternType="solid">
        <fgColor rgb="FFEBD668"/>
        <bgColor rgb="FFEBD668"/>
      </patternFill>
    </fill>
    <fill>
      <patternFill patternType="solid">
        <fgColor rgb="FFDCD36A"/>
        <bgColor rgb="FFDCD36A"/>
      </patternFill>
    </fill>
    <fill>
      <patternFill patternType="solid">
        <fgColor rgb="FF9DC873"/>
        <bgColor rgb="FF9DC873"/>
      </patternFill>
    </fill>
    <fill>
      <patternFill patternType="solid">
        <fgColor rgb="FF9AC873"/>
        <bgColor rgb="FF9AC873"/>
      </patternFill>
    </fill>
    <fill>
      <patternFill patternType="solid">
        <fgColor rgb="FFF0D768"/>
        <bgColor rgb="FFF0D768"/>
      </patternFill>
    </fill>
    <fill>
      <patternFill patternType="solid">
        <fgColor rgb="FFA9CB71"/>
        <bgColor rgb="FFA9CB71"/>
      </patternFill>
    </fill>
    <fill>
      <patternFill patternType="solid">
        <fgColor rgb="FFC9D06D"/>
        <bgColor rgb="FFC9D06D"/>
      </patternFill>
    </fill>
    <fill>
      <patternFill patternType="solid">
        <fgColor rgb="FFCCD16C"/>
        <bgColor rgb="FFCCD16C"/>
      </patternFill>
    </fill>
    <fill>
      <patternFill patternType="solid">
        <fgColor rgb="FF84C476"/>
        <bgColor rgb="FF84C476"/>
      </patternFill>
    </fill>
    <fill>
      <patternFill patternType="solid">
        <fgColor rgb="FFB4CC70"/>
        <bgColor rgb="FFB4CC70"/>
      </patternFill>
    </fill>
    <fill>
      <patternFill patternType="solid">
        <fgColor rgb="FFEED768"/>
        <bgColor rgb="FFEED768"/>
      </patternFill>
    </fill>
    <fill>
      <patternFill patternType="solid">
        <fgColor rgb="FFB8CD6F"/>
        <bgColor rgb="FFB8CD6F"/>
      </patternFill>
    </fill>
    <fill>
      <patternFill patternType="solid">
        <fgColor rgb="FFC8D06D"/>
        <bgColor rgb="FFC8D06D"/>
      </patternFill>
    </fill>
    <fill>
      <patternFill patternType="solid">
        <fgColor rgb="FF86C476"/>
        <bgColor rgb="FF86C476"/>
      </patternFill>
    </fill>
    <fill>
      <patternFill patternType="solid">
        <fgColor rgb="FFFBA769"/>
        <bgColor rgb="FFFBA769"/>
      </patternFill>
    </fill>
    <fill>
      <patternFill patternType="solid">
        <fgColor rgb="FFFED167"/>
        <bgColor rgb="FFFED167"/>
      </patternFill>
    </fill>
    <fill>
      <patternFill patternType="solid">
        <fgColor rgb="FFFECB67"/>
        <bgColor rgb="FFFECB67"/>
      </patternFill>
    </fill>
    <fill>
      <patternFill patternType="solid">
        <fgColor rgb="FFFDC168"/>
        <bgColor rgb="FFFDC168"/>
      </patternFill>
    </fill>
    <fill>
      <patternFill patternType="solid">
        <fgColor rgb="FFFDC767"/>
        <bgColor rgb="FFFDC767"/>
      </patternFill>
    </fill>
    <fill>
      <patternFill patternType="solid">
        <fgColor rgb="FFB1CC70"/>
        <bgColor rgb="FFB1CC70"/>
      </patternFill>
    </fill>
    <fill>
      <patternFill patternType="solid">
        <fgColor rgb="FFFCB168"/>
        <bgColor rgb="FFFCB168"/>
      </patternFill>
    </fill>
    <fill>
      <patternFill patternType="solid">
        <fgColor rgb="FFFCAD68"/>
        <bgColor rgb="FFFCAD68"/>
      </patternFill>
    </fill>
    <fill>
      <patternFill patternType="solid">
        <fgColor rgb="FFFBA469"/>
        <bgColor rgb="FFFBA469"/>
      </patternFill>
    </fill>
    <fill>
      <patternFill patternType="solid">
        <fgColor rgb="FFFA926A"/>
        <bgColor rgb="FFFA926A"/>
      </patternFill>
    </fill>
    <fill>
      <patternFill patternType="solid">
        <fgColor rgb="FFF7D867"/>
        <bgColor rgb="FFF7D867"/>
      </patternFill>
    </fill>
    <fill>
      <patternFill patternType="solid">
        <fgColor rgb="FF8AC575"/>
        <bgColor rgb="FF8AC575"/>
      </patternFill>
    </fill>
    <fill>
      <patternFill patternType="solid">
        <fgColor rgb="FFFB9B69"/>
        <bgColor rgb="FFFB9B69"/>
      </patternFill>
    </fill>
    <fill>
      <patternFill patternType="solid">
        <fgColor rgb="FFA8CA71"/>
        <bgColor rgb="FFA8CA71"/>
      </patternFill>
    </fill>
    <fill>
      <patternFill patternType="solid">
        <fgColor rgb="FFB6CD6F"/>
        <bgColor rgb="FFB6CD6F"/>
      </patternFill>
    </fill>
    <fill>
      <patternFill patternType="solid">
        <fgColor rgb="FFC5CF6D"/>
        <bgColor rgb="FFC5CF6D"/>
      </patternFill>
    </fill>
    <fill>
      <patternFill patternType="solid">
        <fgColor rgb="FF9EC973"/>
        <bgColor rgb="FF9EC973"/>
      </patternFill>
    </fill>
    <fill>
      <patternFill patternType="solid">
        <fgColor rgb="FFBFCE6E"/>
        <bgColor rgb="FFBFCE6E"/>
      </patternFill>
    </fill>
    <fill>
      <patternFill patternType="solid">
        <fgColor rgb="FFA4CA72"/>
        <bgColor rgb="FFA4CA72"/>
      </patternFill>
    </fill>
    <fill>
      <patternFill patternType="solid">
        <fgColor rgb="FF6AC07A"/>
        <bgColor rgb="FF6AC07A"/>
      </patternFill>
    </fill>
    <fill>
      <patternFill patternType="solid">
        <fgColor rgb="FF7DC377"/>
        <bgColor rgb="FF7DC377"/>
      </patternFill>
    </fill>
    <fill>
      <patternFill patternType="solid">
        <fgColor rgb="FFCFD16C"/>
        <bgColor rgb="FFCFD16C"/>
      </patternFill>
    </fill>
    <fill>
      <patternFill patternType="solid">
        <fgColor rgb="FFCAD06D"/>
        <bgColor rgb="FFCAD06D"/>
      </patternFill>
    </fill>
    <fill>
      <patternFill patternType="solid">
        <fgColor rgb="FFA0C972"/>
        <bgColor rgb="FFA0C972"/>
      </patternFill>
    </fill>
    <fill>
      <patternFill patternType="solid">
        <fgColor rgb="FF99C873"/>
        <bgColor rgb="FF99C873"/>
      </patternFill>
    </fill>
    <fill>
      <patternFill patternType="solid">
        <fgColor rgb="FF6CC079"/>
        <bgColor rgb="FF6CC079"/>
      </patternFill>
    </fill>
    <fill>
      <patternFill patternType="solid">
        <fgColor rgb="FF7FC377"/>
        <bgColor rgb="FF7FC377"/>
      </patternFill>
    </fill>
    <fill>
      <patternFill patternType="solid">
        <fgColor rgb="FFFDBC68"/>
        <bgColor rgb="FFFDBC68"/>
      </patternFill>
    </fill>
    <fill>
      <patternFill patternType="solid">
        <fgColor rgb="FFB7CD6F"/>
        <bgColor rgb="FFB7CD6F"/>
      </patternFill>
    </fill>
    <fill>
      <patternFill patternType="solid">
        <fgColor rgb="FFBACD6F"/>
        <bgColor rgb="FFBACD6F"/>
      </patternFill>
    </fill>
    <fill>
      <patternFill patternType="solid">
        <fgColor rgb="FFB0CC70"/>
        <bgColor rgb="FFB0CC70"/>
      </patternFill>
    </fill>
    <fill>
      <patternFill patternType="solid">
        <fgColor rgb="FFCED16C"/>
        <bgColor rgb="FFCED16C"/>
      </patternFill>
    </fill>
    <fill>
      <patternFill patternType="solid">
        <fgColor rgb="FF91C674"/>
        <bgColor rgb="FF91C674"/>
      </patternFill>
    </fill>
    <fill>
      <patternFill patternType="solid">
        <fgColor rgb="FF6FC079"/>
        <bgColor rgb="FF6FC079"/>
      </patternFill>
    </fill>
    <fill>
      <patternFill patternType="solid">
        <fgColor rgb="FFD3D26B"/>
        <bgColor rgb="FFD3D26B"/>
      </patternFill>
    </fill>
    <fill>
      <patternFill patternType="solid">
        <fgColor rgb="FFA5CA72"/>
        <bgColor rgb="FFA5CA72"/>
      </patternFill>
    </fill>
    <fill>
      <patternFill patternType="solid">
        <fgColor rgb="FF79C278"/>
        <bgColor rgb="FF79C278"/>
      </patternFill>
    </fill>
    <fill>
      <patternFill patternType="solid">
        <fgColor rgb="FF81C476"/>
        <bgColor rgb="FF81C476"/>
      </patternFill>
    </fill>
    <fill>
      <patternFill patternType="solid">
        <fgColor rgb="FF88C576"/>
        <bgColor rgb="FF88C576"/>
      </patternFill>
    </fill>
    <fill>
      <patternFill patternType="solid">
        <fgColor rgb="FF95C774"/>
        <bgColor rgb="FF95C774"/>
      </patternFill>
    </fill>
    <fill>
      <patternFill patternType="solid">
        <fgColor rgb="FFFED966"/>
        <bgColor rgb="FFFED966"/>
      </patternFill>
    </fill>
    <fill>
      <patternFill patternType="solid">
        <fgColor rgb="FFEDD668"/>
        <bgColor rgb="FFEDD668"/>
      </patternFill>
    </fill>
    <fill>
      <patternFill patternType="solid">
        <fgColor rgb="FFD6D26B"/>
        <bgColor rgb="FFD6D26B"/>
      </patternFill>
    </fill>
    <fill>
      <patternFill patternType="solid">
        <fgColor rgb="FFE7D569"/>
        <bgColor rgb="FFE7D569"/>
      </patternFill>
    </fill>
    <fill>
      <patternFill patternType="solid">
        <fgColor rgb="FFD5D26B"/>
        <bgColor rgb="FFD5D26B"/>
      </patternFill>
    </fill>
    <fill>
      <patternFill patternType="solid">
        <fgColor rgb="FF90C675"/>
        <bgColor rgb="FF90C675"/>
      </patternFill>
    </fill>
    <fill>
      <patternFill patternType="solid">
        <fgColor rgb="FFE9D669"/>
        <bgColor rgb="FFE9D669"/>
      </patternFill>
    </fill>
    <fill>
      <patternFill patternType="solid">
        <fgColor rgb="FFC6D06D"/>
        <bgColor rgb="FFC6D06D"/>
      </patternFill>
    </fill>
    <fill>
      <patternFill patternType="solid">
        <fgColor rgb="FFB5CD6F"/>
        <bgColor rgb="FFB5CD6F"/>
      </patternFill>
    </fill>
    <fill>
      <patternFill patternType="solid">
        <fgColor rgb="FF64BF7A"/>
        <bgColor rgb="FF64BF7A"/>
      </patternFill>
    </fill>
    <fill>
      <patternFill patternType="solid">
        <fgColor rgb="FFFDC567"/>
        <bgColor rgb="FFFDC567"/>
      </patternFill>
    </fill>
    <fill>
      <patternFill patternType="solid">
        <fgColor rgb="FFFCB768"/>
        <bgColor rgb="FFFCB768"/>
      </patternFill>
    </fill>
    <fill>
      <patternFill patternType="solid">
        <fgColor rgb="FFABCB71"/>
        <bgColor rgb="FFABCB71"/>
      </patternFill>
    </fill>
    <fill>
      <patternFill patternType="solid">
        <fgColor rgb="FF8FC675"/>
        <bgColor rgb="FF8FC675"/>
      </patternFill>
    </fill>
    <fill>
      <patternFill patternType="solid">
        <fgColor rgb="FFFBA269"/>
        <bgColor rgb="FFFBA269"/>
      </patternFill>
    </fill>
    <fill>
      <patternFill patternType="solid">
        <fgColor rgb="FFCBD06D"/>
        <bgColor rgb="FFCBD06D"/>
      </patternFill>
    </fill>
    <fill>
      <patternFill patternType="solid">
        <fgColor rgb="FF87C576"/>
        <bgColor rgb="FF87C576"/>
      </patternFill>
    </fill>
    <fill>
      <patternFill patternType="solid">
        <fgColor rgb="FFDED46A"/>
        <bgColor rgb="FFDED46A"/>
      </patternFill>
    </fill>
    <fill>
      <patternFill patternType="solid">
        <fgColor rgb="FFF4D867"/>
        <bgColor rgb="FFF4D867"/>
      </patternFill>
    </fill>
    <fill>
      <patternFill patternType="solid">
        <fgColor rgb="FFE1D46A"/>
        <bgColor rgb="FFE1D46A"/>
      </patternFill>
    </fill>
    <fill>
      <patternFill patternType="solid">
        <fgColor rgb="FF82C476"/>
        <bgColor rgb="FF82C476"/>
      </patternFill>
    </fill>
    <fill>
      <patternFill patternType="solid">
        <fgColor rgb="FFAFCC70"/>
        <bgColor rgb="FFAFCC70"/>
      </patternFill>
    </fill>
    <fill>
      <patternFill patternType="solid">
        <fgColor rgb="FFAACB71"/>
        <bgColor rgb="FFAACB71"/>
      </patternFill>
    </fill>
    <fill>
      <patternFill patternType="solid">
        <fgColor rgb="FF7EC377"/>
        <bgColor rgb="FF7EC377"/>
      </patternFill>
    </fill>
    <fill>
      <patternFill patternType="solid">
        <fgColor rgb="FFADCB71"/>
        <bgColor rgb="FFADCB71"/>
      </patternFill>
    </fill>
    <fill>
      <patternFill patternType="solid">
        <fgColor rgb="FF7CC377"/>
        <bgColor rgb="FF7CC377"/>
      </patternFill>
    </fill>
    <fill>
      <patternFill patternType="solid">
        <fgColor rgb="FFEAD668"/>
        <bgColor rgb="FFEAD668"/>
      </patternFill>
    </fill>
    <fill>
      <patternFill patternType="solid">
        <fgColor rgb="FFC6CF6D"/>
        <bgColor rgb="FFC6CF6D"/>
      </patternFill>
    </fill>
    <fill>
      <patternFill patternType="solid">
        <fgColor rgb="FF71C179"/>
        <bgColor rgb="FF71C179"/>
      </patternFill>
    </fill>
    <fill>
      <patternFill patternType="solid">
        <fgColor rgb="FF6BC079"/>
        <bgColor rgb="FF6BC079"/>
      </patternFill>
    </fill>
    <fill>
      <patternFill patternType="solid">
        <fgColor rgb="FF93C774"/>
        <bgColor rgb="FF93C774"/>
      </patternFill>
    </fill>
    <fill>
      <patternFill patternType="solid">
        <fgColor rgb="FFE6D569"/>
        <bgColor rgb="FFE6D569"/>
      </patternFill>
    </fill>
    <fill>
      <patternFill patternType="solid">
        <fgColor rgb="FFA3C972"/>
        <bgColor rgb="FFA3C972"/>
      </patternFill>
    </fill>
    <fill>
      <patternFill patternType="solid">
        <fgColor rgb="FFC0CE6E"/>
        <bgColor rgb="FFC0CE6E"/>
      </patternFill>
    </fill>
    <fill>
      <patternFill patternType="solid">
        <fgColor rgb="FFBECE6E"/>
        <bgColor rgb="FFBECE6E"/>
      </patternFill>
    </fill>
    <fill>
      <patternFill patternType="solid">
        <fgColor rgb="FFBDCE6E"/>
        <bgColor rgb="FFBDCE6E"/>
      </patternFill>
    </fill>
    <fill>
      <patternFill patternType="solid">
        <fgColor rgb="FF94C774"/>
        <bgColor rgb="FF94C774"/>
      </patternFill>
    </fill>
    <fill>
      <patternFill patternType="solid">
        <fgColor rgb="FFA9CA71"/>
        <bgColor rgb="FFA9CA71"/>
      </patternFill>
    </fill>
    <fill>
      <patternFill patternType="solid">
        <fgColor rgb="FFFCD966"/>
        <bgColor rgb="FFFCD966"/>
      </patternFill>
    </fill>
    <fill>
      <patternFill patternType="solid">
        <fgColor rgb="FFFAD966"/>
        <bgColor rgb="FFFAD966"/>
      </patternFill>
    </fill>
    <fill>
      <patternFill patternType="solid">
        <fgColor rgb="FFC0CF6E"/>
        <bgColor rgb="FFC0CF6E"/>
      </patternFill>
    </fill>
    <fill>
      <patternFill patternType="solid">
        <fgColor rgb="FFDDD36A"/>
        <bgColor rgb="FFDDD36A"/>
      </patternFill>
    </fill>
    <fill>
      <patternFill patternType="solid">
        <fgColor rgb="FF89C575"/>
        <bgColor rgb="FF89C575"/>
      </patternFill>
    </fill>
    <fill>
      <patternFill patternType="solid">
        <fgColor rgb="FFFBA069"/>
        <bgColor rgb="FFFBA069"/>
      </patternFill>
    </fill>
    <fill>
      <patternFill patternType="solid">
        <fgColor rgb="FFFDC268"/>
        <bgColor rgb="FFFDC268"/>
      </patternFill>
    </fill>
    <fill>
      <patternFill patternType="solid">
        <fgColor rgb="FFFCA969"/>
        <bgColor rgb="FFFCA969"/>
      </patternFill>
    </fill>
    <fill>
      <patternFill patternType="solid">
        <fgColor rgb="FFFDC068"/>
        <bgColor rgb="FFFDC068"/>
      </patternFill>
    </fill>
    <fill>
      <patternFill patternType="solid">
        <fgColor rgb="FFFCB268"/>
        <bgColor rgb="FFFCB268"/>
      </patternFill>
    </fill>
    <fill>
      <patternFill patternType="solid">
        <fgColor rgb="FFFBA169"/>
        <bgColor rgb="FFFBA169"/>
      </patternFill>
    </fill>
    <fill>
      <patternFill patternType="solid">
        <fgColor rgb="FFFED067"/>
        <bgColor rgb="FFFED067"/>
      </patternFill>
    </fill>
    <fill>
      <patternFill patternType="solid">
        <fgColor rgb="FFFDC267"/>
        <bgColor rgb="FFFDC267"/>
      </patternFill>
    </fill>
    <fill>
      <patternFill patternType="solid">
        <fgColor rgb="FFFBD966"/>
        <bgColor rgb="FFFBD966"/>
      </patternFill>
    </fill>
    <fill>
      <patternFill patternType="solid">
        <fgColor rgb="FFFDD966"/>
        <bgColor rgb="FFFDD966"/>
      </patternFill>
    </fill>
    <fill>
      <patternFill patternType="solid">
        <fgColor rgb="FFD7D36B"/>
        <bgColor rgb="FFD7D36B"/>
      </patternFill>
    </fill>
    <fill>
      <patternFill patternType="solid">
        <fgColor rgb="FFF1D768"/>
        <bgColor rgb="FFF1D768"/>
      </patternFill>
    </fill>
    <fill>
      <patternFill patternType="solid">
        <fgColor rgb="FFFBA869"/>
        <bgColor rgb="FFFBA869"/>
      </patternFill>
    </fill>
    <fill>
      <patternFill patternType="solid">
        <fgColor rgb="FF90C674"/>
        <bgColor rgb="FF90C674"/>
      </patternFill>
    </fill>
    <fill>
      <patternFill patternType="solid">
        <fgColor rgb="FFFA9869"/>
        <bgColor rgb="FFFA9869"/>
      </patternFill>
    </fill>
    <fill>
      <patternFill patternType="solid">
        <fgColor rgb="FF68BF7A"/>
        <bgColor rgb="FF68BF7A"/>
      </patternFill>
    </fill>
    <fill>
      <patternFill patternType="solid">
        <fgColor rgb="FF6EC079"/>
        <bgColor rgb="FF6EC079"/>
      </patternFill>
    </fill>
    <fill>
      <patternFill patternType="solid">
        <fgColor rgb="FF70C179"/>
        <bgColor rgb="FF70C179"/>
      </patternFill>
    </fill>
    <fill>
      <patternFill patternType="solid">
        <fgColor rgb="FF97C774"/>
        <bgColor rgb="FF97C774"/>
      </patternFill>
    </fill>
    <fill>
      <patternFill patternType="solid">
        <fgColor rgb="FFF6D867"/>
        <bgColor rgb="FFF6D867"/>
      </patternFill>
    </fill>
    <fill>
      <patternFill patternType="solid">
        <fgColor rgb="FFA6CA72"/>
        <bgColor rgb="FFA6CA72"/>
      </patternFill>
    </fill>
    <fill>
      <patternFill patternType="solid">
        <fgColor rgb="FFC2CF6E"/>
        <bgColor rgb="FFC2CF6E"/>
      </patternFill>
    </fill>
    <fill>
      <patternFill patternType="solid">
        <fgColor rgb="FFC7D06D"/>
        <bgColor rgb="FFC7D06D"/>
      </patternFill>
    </fill>
    <fill>
      <patternFill patternType="solid">
        <fgColor rgb="FFECD668"/>
        <bgColor rgb="FFECD668"/>
      </patternFill>
    </fill>
    <fill>
      <patternFill patternType="solid">
        <fgColor rgb="FFA2C972"/>
        <bgColor rgb="FFA2C972"/>
      </patternFill>
    </fill>
    <fill>
      <patternFill patternType="solid">
        <fgColor rgb="FFD2D26C"/>
        <bgColor rgb="FFD2D26C"/>
      </patternFill>
    </fill>
    <fill>
      <patternFill patternType="solid">
        <fgColor rgb="FFE3D569"/>
        <bgColor rgb="FFE3D569"/>
      </patternFill>
    </fill>
    <fill>
      <patternFill patternType="solid">
        <fgColor rgb="FF96C774"/>
        <bgColor rgb="FF96C774"/>
      </patternFill>
    </fill>
    <fill>
      <patternFill patternType="solid">
        <fgColor rgb="FF9BC873"/>
        <bgColor rgb="FF9BC873"/>
      </patternFill>
    </fill>
    <fill>
      <patternFill patternType="solid">
        <fgColor rgb="FF76C278"/>
        <bgColor rgb="FF76C278"/>
      </patternFill>
    </fill>
    <fill>
      <patternFill patternType="solid">
        <fgColor rgb="FF72C178"/>
        <bgColor rgb="FF72C178"/>
      </patternFill>
    </fill>
    <fill>
      <patternFill patternType="solid">
        <fgColor rgb="FFACCB71"/>
        <bgColor rgb="FFACCB71"/>
      </patternFill>
    </fill>
    <fill>
      <patternFill patternType="solid">
        <fgColor rgb="FFC4CF6E"/>
        <bgColor rgb="FFC4CF6E"/>
      </patternFill>
    </fill>
    <fill>
      <patternFill patternType="solid">
        <fgColor rgb="FFC1CF6E"/>
        <bgColor rgb="FFC1CF6E"/>
      </patternFill>
    </fill>
    <fill>
      <patternFill patternType="solid">
        <fgColor rgb="FFFDC667"/>
        <bgColor rgb="FFFDC667"/>
      </patternFill>
    </fill>
    <fill>
      <patternFill patternType="solid">
        <fgColor rgb="FF8EC675"/>
        <bgColor rgb="FF8EC675"/>
      </patternFill>
    </fill>
    <fill>
      <patternFill patternType="solid">
        <fgColor rgb="FFA7CA71"/>
        <bgColor rgb="FFA7CA71"/>
      </patternFill>
    </fill>
    <fill>
      <patternFill patternType="solid">
        <fgColor rgb="FFAECB70"/>
        <bgColor rgb="FFAECB70"/>
      </patternFill>
    </fill>
    <fill>
      <patternFill patternType="solid">
        <fgColor rgb="FFF97F6A"/>
        <bgColor rgb="FFF97F6A"/>
      </patternFill>
    </fill>
    <fill>
      <patternFill patternType="solid">
        <fgColor rgb="FFFCB068"/>
        <bgColor rgb="FFFCB068"/>
      </patternFill>
    </fill>
    <fill>
      <patternFill patternType="solid">
        <fgColor rgb="FFF97A6B"/>
        <bgColor rgb="FFF97A6B"/>
      </patternFill>
    </fill>
    <fill>
      <patternFill patternType="solid">
        <fgColor rgb="FFF9806A"/>
        <bgColor rgb="FFF9806A"/>
      </patternFill>
    </fill>
    <fill>
      <patternFill patternType="solid">
        <fgColor rgb="FFF8696B"/>
        <bgColor rgb="FFF8696B"/>
      </patternFill>
    </fill>
    <fill>
      <patternFill patternType="solid">
        <fgColor rgb="FFFB9969"/>
        <bgColor rgb="FFFB9969"/>
      </patternFill>
    </fill>
    <fill>
      <patternFill patternType="solid">
        <fgColor rgb="FFF9836A"/>
        <bgColor rgb="FFF9836A"/>
      </patternFill>
    </fill>
    <fill>
      <patternFill patternType="solid">
        <fgColor rgb="FFFA946A"/>
        <bgColor rgb="FFFA946A"/>
      </patternFill>
    </fill>
    <fill>
      <patternFill patternType="solid">
        <fgColor rgb="FFFA9669"/>
        <bgColor rgb="FFFA9669"/>
      </patternFill>
    </fill>
    <fill>
      <patternFill patternType="solid">
        <fgColor rgb="FFE6B8AF"/>
        <bgColor rgb="FFE6B8AF"/>
      </patternFill>
    </fill>
    <fill>
      <patternFill patternType="solid">
        <fgColor rgb="FFD1D16C"/>
        <bgColor rgb="FFD1D16C"/>
      </patternFill>
    </fill>
    <fill>
      <patternFill patternType="solid">
        <fgColor rgb="FFF9846A"/>
        <bgColor rgb="FFF9846A"/>
      </patternFill>
    </fill>
    <fill>
      <patternFill patternType="solid">
        <fgColor rgb="FFFCB868"/>
        <bgColor rgb="FFFCB868"/>
      </patternFill>
    </fill>
    <fill>
      <patternFill patternType="solid">
        <fgColor rgb="FFFDBB68"/>
        <bgColor rgb="FFFDBB68"/>
      </patternFill>
    </fill>
    <fill>
      <patternFill patternType="solid">
        <fgColor rgb="FF75C278"/>
        <bgColor rgb="FF75C278"/>
      </patternFill>
    </fill>
    <fill>
      <patternFill patternType="solid">
        <fgColor rgb="FF66BF7A"/>
        <bgColor rgb="FF66BF7A"/>
      </patternFill>
    </fill>
    <fill>
      <patternFill patternType="solid">
        <fgColor rgb="FFFDBD68"/>
        <bgColor rgb="FFFDBD68"/>
      </patternFill>
    </fill>
    <fill>
      <patternFill patternType="solid">
        <fgColor rgb="FF98C873"/>
        <bgColor rgb="FF98C873"/>
      </patternFill>
    </fill>
    <fill>
      <patternFill patternType="solid">
        <fgColor rgb="FFE9D668"/>
        <bgColor rgb="FFE9D668"/>
      </patternFill>
    </fill>
    <fill>
      <patternFill patternType="solid">
        <fgColor rgb="FFF3D767"/>
        <bgColor rgb="FFF3D767"/>
      </patternFill>
    </fill>
    <fill>
      <patternFill patternType="solid">
        <fgColor rgb="FF8CC675"/>
        <bgColor rgb="FF8CC675"/>
      </patternFill>
    </fill>
    <fill>
      <patternFill patternType="solid">
        <fgColor rgb="FFD1D26C"/>
        <bgColor rgb="FFD1D26C"/>
      </patternFill>
    </fill>
    <fill>
      <patternFill patternType="solid">
        <fgColor rgb="FF57BB8A"/>
        <bgColor rgb="FF57BB8A"/>
      </patternFill>
    </fill>
    <fill>
      <patternFill patternType="solid">
        <fgColor rgb="FF7CCAA4"/>
        <bgColor rgb="FF7CCAA4"/>
      </patternFill>
    </fill>
    <fill>
      <patternFill patternType="solid">
        <fgColor rgb="FFAEDEC7"/>
        <bgColor rgb="FFAEDEC7"/>
      </patternFill>
    </fill>
    <fill>
      <patternFill patternType="solid">
        <fgColor rgb="FFC6E8D7"/>
        <bgColor rgb="FFC6E8D7"/>
      </patternFill>
    </fill>
    <fill>
      <patternFill patternType="solid">
        <fgColor rgb="FFC7E9D8"/>
        <bgColor rgb="FFC7E9D8"/>
      </patternFill>
    </fill>
    <fill>
      <patternFill patternType="solid">
        <fgColor rgb="FF8CD1AF"/>
        <bgColor rgb="FF8CD1AF"/>
      </patternFill>
    </fill>
    <fill>
      <patternFill patternType="solid">
        <fgColor rgb="FFD7EFE3"/>
        <bgColor rgb="FFD7EFE3"/>
      </patternFill>
    </fill>
    <fill>
      <patternFill patternType="solid">
        <fgColor rgb="FF5CBD8D"/>
        <bgColor rgb="FF5CBD8D"/>
      </patternFill>
    </fill>
    <fill>
      <patternFill patternType="solid">
        <fgColor rgb="FFEC9D96"/>
        <bgColor rgb="FFEC9D96"/>
      </patternFill>
    </fill>
    <fill>
      <patternFill patternType="solid">
        <fgColor rgb="FF9BD7BA"/>
        <bgColor rgb="FF9BD7BA"/>
      </patternFill>
    </fill>
    <fill>
      <patternFill patternType="solid">
        <fgColor rgb="FFFDF4F4"/>
        <bgColor rgb="FFFDF4F4"/>
      </patternFill>
    </fill>
    <fill>
      <patternFill patternType="solid">
        <fgColor rgb="FFE67C73"/>
        <bgColor rgb="FFE67C73"/>
      </patternFill>
    </fill>
    <fill>
      <patternFill patternType="solid">
        <fgColor rgb="FFF8FDFA"/>
        <bgColor rgb="FFF8FDFA"/>
      </patternFill>
    </fill>
    <fill>
      <patternFill patternType="solid">
        <fgColor rgb="FFE88B83"/>
        <bgColor rgb="FFE88B83"/>
      </patternFill>
    </fill>
    <fill>
      <patternFill patternType="solid">
        <fgColor rgb="FF6AC398"/>
        <bgColor rgb="FF6AC398"/>
      </patternFill>
    </fill>
    <fill>
      <patternFill patternType="solid">
        <fgColor rgb="FFA0D9BD"/>
        <bgColor rgb="FFA0D9BD"/>
      </patternFill>
    </fill>
    <fill>
      <patternFill patternType="solid">
        <fgColor rgb="FFCEEBDD"/>
        <bgColor rgb="FFCEEBDD"/>
      </patternFill>
    </fill>
    <fill>
      <patternFill patternType="solid">
        <fgColor rgb="FFEAF7F0"/>
        <bgColor rgb="FFEAF7F0"/>
      </patternFill>
    </fill>
    <fill>
      <patternFill patternType="solid">
        <fgColor rgb="FFADDEC6"/>
        <bgColor rgb="FFADDEC6"/>
      </patternFill>
    </fill>
    <fill>
      <patternFill patternType="solid">
        <fgColor rgb="FFB6E2CC"/>
        <bgColor rgb="FFB6E2CC"/>
      </patternFill>
    </fill>
    <fill>
      <patternFill patternType="solid">
        <fgColor rgb="FFBFE5D2"/>
        <bgColor rgb="FFBFE5D2"/>
      </patternFill>
    </fill>
    <fill>
      <patternFill patternType="solid">
        <fgColor rgb="FFA8DCC3"/>
        <bgColor rgb="FFA8DCC3"/>
      </patternFill>
    </fill>
    <fill>
      <patternFill patternType="solid">
        <fgColor rgb="FFC0E6D3"/>
        <bgColor rgb="FFC0E6D3"/>
      </patternFill>
    </fill>
    <fill>
      <patternFill patternType="solid">
        <fgColor rgb="FFDAF0E5"/>
        <bgColor rgb="FFDAF0E5"/>
      </patternFill>
    </fill>
    <fill>
      <patternFill patternType="solid">
        <fgColor rgb="FF82CDA8"/>
        <bgColor rgb="FF82CDA8"/>
      </patternFill>
    </fill>
    <fill>
      <patternFill patternType="solid">
        <fgColor rgb="FFFEFAFA"/>
        <bgColor rgb="FFFEFAFA"/>
      </patternFill>
    </fill>
    <fill>
      <patternFill patternType="solid">
        <fgColor rgb="FFEFF9F4"/>
        <bgColor rgb="FFEFF9F4"/>
      </patternFill>
    </fill>
    <fill>
      <patternFill patternType="solid">
        <fgColor rgb="FFF7FCF9"/>
        <bgColor rgb="FFF7FCF9"/>
      </patternFill>
    </fill>
    <fill>
      <patternFill patternType="solid">
        <fgColor rgb="FFFCF2F1"/>
        <bgColor rgb="FFFCF2F1"/>
      </patternFill>
    </fill>
    <fill>
      <patternFill patternType="solid">
        <fgColor rgb="FFD1EDDF"/>
        <bgColor rgb="FFD1EDDF"/>
      </patternFill>
    </fill>
    <fill>
      <patternFill patternType="solid">
        <fgColor rgb="FF93D4B4"/>
        <bgColor rgb="FF93D4B4"/>
      </patternFill>
    </fill>
    <fill>
      <patternFill patternType="solid">
        <fgColor rgb="FFFDFFFE"/>
        <bgColor rgb="FFFDFFFE"/>
      </patternFill>
    </fill>
    <fill>
      <patternFill patternType="solid">
        <fgColor rgb="FFFEFBFB"/>
        <bgColor rgb="FFFEFBFB"/>
      </patternFill>
    </fill>
    <fill>
      <patternFill patternType="solid">
        <fgColor rgb="FFF0F9F5"/>
        <bgColor rgb="FFF0F9F5"/>
      </patternFill>
    </fill>
    <fill>
      <patternFill patternType="solid">
        <fgColor rgb="FFB4E1CB"/>
        <bgColor rgb="FFB4E1CB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2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6" fillId="0" fontId="1" numFmtId="0" xfId="0" applyAlignment="1" applyBorder="1" applyFont="1">
      <alignment horizontal="left"/>
    </xf>
    <xf borderId="5" fillId="0" fontId="4" numFmtId="0" xfId="0" applyAlignment="1" applyBorder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6" fillId="0" fontId="4" numFmtId="0" xfId="0" applyAlignment="1" applyBorder="1" applyFont="1">
      <alignment horizontal="left" vertical="bottom"/>
    </xf>
    <xf borderId="5" fillId="3" fontId="4" numFmtId="0" xfId="0" applyAlignment="1" applyBorder="1" applyFill="1" applyFont="1">
      <alignment horizontal="right" vertical="bottom"/>
    </xf>
    <xf borderId="0" fillId="4" fontId="4" numFmtId="0" xfId="0" applyAlignment="1" applyFill="1" applyFont="1">
      <alignment horizontal="right" vertical="bottom"/>
    </xf>
    <xf borderId="0" fillId="5" fontId="4" numFmtId="0" xfId="0" applyAlignment="1" applyFill="1" applyFont="1">
      <alignment horizontal="right" vertical="bottom"/>
    </xf>
    <xf borderId="0" fillId="6" fontId="4" numFmtId="0" xfId="0" applyAlignment="1" applyFill="1" applyFont="1">
      <alignment horizontal="right" vertical="bottom"/>
    </xf>
    <xf borderId="6" fillId="7" fontId="4" numFmtId="0" xfId="0" applyAlignment="1" applyBorder="1" applyFill="1" applyFont="1">
      <alignment horizontal="right" vertical="bottom"/>
    </xf>
    <xf borderId="0" fillId="8" fontId="4" numFmtId="0" xfId="0" applyAlignment="1" applyFill="1" applyFont="1">
      <alignment horizontal="right" vertical="bottom"/>
    </xf>
    <xf borderId="6" fillId="9" fontId="4" numFmtId="0" xfId="0" applyAlignment="1" applyBorder="1" applyFill="1" applyFont="1">
      <alignment horizontal="right" vertical="bottom"/>
    </xf>
    <xf borderId="6" fillId="8" fontId="4" numFmtId="0" xfId="0" applyAlignment="1" applyBorder="1" applyFont="1">
      <alignment horizontal="right" vertical="bottom"/>
    </xf>
    <xf borderId="0" fillId="10" fontId="4" numFmtId="0" xfId="0" applyAlignment="1" applyFill="1" applyFont="1">
      <alignment horizontal="right" vertical="bottom"/>
    </xf>
    <xf borderId="0" fillId="11" fontId="4" numFmtId="0" xfId="0" applyAlignment="1" applyFill="1" applyFont="1">
      <alignment horizontal="right" vertical="bottom"/>
    </xf>
    <xf borderId="6" fillId="12" fontId="4" numFmtId="0" xfId="0" applyAlignment="1" applyBorder="1" applyFill="1" applyFont="1">
      <alignment horizontal="right" vertical="bottom"/>
    </xf>
    <xf borderId="5" fillId="8" fontId="4" numFmtId="0" xfId="0" applyAlignment="1" applyBorder="1" applyFont="1">
      <alignment horizontal="right" vertical="bottom"/>
    </xf>
    <xf borderId="0" fillId="13" fontId="4" numFmtId="0" xfId="0" applyAlignment="1" applyFill="1" applyFont="1">
      <alignment horizontal="right" vertical="bottom"/>
    </xf>
    <xf borderId="0" fillId="14" fontId="4" numFmtId="0" xfId="0" applyAlignment="1" applyFill="1" applyFont="1">
      <alignment horizontal="right" vertical="bottom"/>
    </xf>
    <xf borderId="0" fillId="15" fontId="4" numFmtId="0" xfId="0" applyAlignment="1" applyFill="1" applyFont="1">
      <alignment horizontal="right" vertical="bottom"/>
    </xf>
    <xf borderId="0" fillId="16" fontId="4" numFmtId="0" xfId="0" applyAlignment="1" applyFill="1" applyFont="1">
      <alignment horizontal="right" vertical="bottom"/>
    </xf>
    <xf borderId="0" fillId="17" fontId="4" numFmtId="0" xfId="0" applyAlignment="1" applyFill="1" applyFont="1">
      <alignment horizontal="right" vertical="bottom"/>
    </xf>
    <xf borderId="6" fillId="18" fontId="4" numFmtId="0" xfId="0" applyAlignment="1" applyBorder="1" applyFill="1" applyFont="1">
      <alignment horizontal="right" vertical="bottom"/>
    </xf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5" fillId="19" fontId="4" numFmtId="0" xfId="0" applyAlignment="1" applyBorder="1" applyFill="1" applyFont="1">
      <alignment horizontal="right" vertical="bottom"/>
    </xf>
    <xf borderId="0" fillId="20" fontId="4" numFmtId="0" xfId="0" applyAlignment="1" applyFill="1" applyFont="1">
      <alignment horizontal="right" vertical="bottom"/>
    </xf>
    <xf borderId="0" fillId="21" fontId="4" numFmtId="0" xfId="0" applyAlignment="1" applyFill="1" applyFont="1">
      <alignment horizontal="right" vertical="bottom"/>
    </xf>
    <xf borderId="6" fillId="4" fontId="4" numFmtId="0" xfId="0" applyAlignment="1" applyBorder="1" applyFont="1">
      <alignment horizontal="right" vertical="bottom"/>
    </xf>
    <xf borderId="5" fillId="22" fontId="4" numFmtId="0" xfId="0" applyAlignment="1" applyBorder="1" applyFill="1" applyFont="1">
      <alignment horizontal="right" vertical="bottom"/>
    </xf>
    <xf borderId="0" fillId="23" fontId="4" numFmtId="0" xfId="0" applyAlignment="1" applyFill="1" applyFont="1">
      <alignment horizontal="right" vertical="bottom"/>
    </xf>
    <xf borderId="6" fillId="24" fontId="4" numFmtId="0" xfId="0" applyAlignment="1" applyBorder="1" applyFill="1" applyFont="1">
      <alignment horizontal="right" vertical="bottom"/>
    </xf>
    <xf borderId="6" fillId="25" fontId="4" numFmtId="0" xfId="0" applyAlignment="1" applyBorder="1" applyFill="1" applyFont="1">
      <alignment horizontal="right" vertical="bottom"/>
    </xf>
    <xf borderId="5" fillId="26" fontId="4" numFmtId="0" xfId="0" applyAlignment="1" applyBorder="1" applyFill="1" applyFont="1">
      <alignment horizontal="right" vertical="bottom"/>
    </xf>
    <xf borderId="0" fillId="27" fontId="4" numFmtId="0" xfId="0" applyAlignment="1" applyFill="1" applyFont="1">
      <alignment horizontal="right" vertical="bottom"/>
    </xf>
    <xf borderId="6" fillId="28" fontId="4" numFmtId="0" xfId="0" applyAlignment="1" applyBorder="1" applyFill="1" applyFont="1">
      <alignment horizontal="right" vertical="bottom"/>
    </xf>
    <xf borderId="5" fillId="29" fontId="5" numFmtId="0" xfId="0" applyAlignment="1" applyBorder="1" applyFill="1" applyFont="1">
      <alignment horizontal="right" vertical="bottom"/>
    </xf>
    <xf borderId="0" fillId="30" fontId="4" numFmtId="0" xfId="0" applyAlignment="1" applyFill="1" applyFont="1">
      <alignment horizontal="right" vertical="bottom"/>
    </xf>
    <xf borderId="0" fillId="31" fontId="4" numFmtId="0" xfId="0" applyAlignment="1" applyFill="1" applyFont="1">
      <alignment horizontal="right" vertical="bottom"/>
    </xf>
    <xf borderId="0" fillId="32" fontId="4" numFmtId="0" xfId="0" applyAlignment="1" applyFill="1" applyFont="1">
      <alignment horizontal="right" vertical="bottom"/>
    </xf>
    <xf borderId="0" fillId="33" fontId="4" numFmtId="0" xfId="0" applyAlignment="1" applyFill="1" applyFont="1">
      <alignment horizontal="right" vertical="bottom"/>
    </xf>
    <xf borderId="0" fillId="34" fontId="4" numFmtId="0" xfId="0" applyAlignment="1" applyFill="1" applyFont="1">
      <alignment horizontal="right" vertical="bottom"/>
    </xf>
    <xf borderId="6" fillId="35" fontId="4" numFmtId="0" xfId="0" applyAlignment="1" applyBorder="1" applyFill="1" applyFont="1">
      <alignment horizontal="right" vertical="bottom"/>
    </xf>
    <xf borderId="0" fillId="0" fontId="1" numFmtId="0" xfId="0" applyAlignment="1" applyFont="1">
      <alignment horizontal="left" readingOrder="0"/>
    </xf>
    <xf borderId="5" fillId="36" fontId="4" numFmtId="0" xfId="0" applyAlignment="1" applyBorder="1" applyFill="1" applyFont="1">
      <alignment horizontal="right" vertical="bottom"/>
    </xf>
    <xf borderId="0" fillId="37" fontId="4" numFmtId="0" xfId="0" applyAlignment="1" applyFill="1" applyFont="1">
      <alignment horizontal="right" vertical="bottom"/>
    </xf>
    <xf borderId="0" fillId="38" fontId="4" numFmtId="0" xfId="0" applyAlignment="1" applyFill="1" applyFont="1">
      <alignment horizontal="right" vertical="bottom"/>
    </xf>
    <xf borderId="0" fillId="28" fontId="4" numFmtId="0" xfId="0" applyAlignment="1" applyFont="1">
      <alignment horizontal="right" vertical="bottom"/>
    </xf>
    <xf borderId="6" fillId="39" fontId="4" numFmtId="0" xfId="0" applyAlignment="1" applyBorder="1" applyFill="1" applyFont="1">
      <alignment horizontal="right" vertical="bottom"/>
    </xf>
    <xf borderId="5" fillId="40" fontId="4" numFmtId="0" xfId="0" applyAlignment="1" applyBorder="1" applyFill="1" applyFont="1">
      <alignment horizontal="right" vertical="bottom"/>
    </xf>
    <xf borderId="6" fillId="41" fontId="4" numFmtId="0" xfId="0" applyAlignment="1" applyBorder="1" applyFill="1" applyFont="1">
      <alignment horizontal="right" vertical="bottom"/>
    </xf>
    <xf borderId="0" fillId="3" fontId="4" numFmtId="0" xfId="0" applyAlignment="1" applyFont="1">
      <alignment horizontal="right" vertical="bottom"/>
    </xf>
    <xf borderId="6" fillId="11" fontId="4" numFmtId="0" xfId="0" applyAlignment="1" applyBorder="1" applyFont="1">
      <alignment horizontal="right" vertical="bottom"/>
    </xf>
    <xf borderId="5" fillId="42" fontId="4" numFmtId="0" xfId="0" applyAlignment="1" applyBorder="1" applyFill="1" applyFont="1">
      <alignment horizontal="right" vertical="bottom"/>
    </xf>
    <xf borderId="0" fillId="43" fontId="4" numFmtId="0" xfId="0" applyAlignment="1" applyFill="1" applyFont="1">
      <alignment horizontal="right" vertical="bottom"/>
    </xf>
    <xf borderId="0" fillId="44" fontId="4" numFmtId="0" xfId="0" applyAlignment="1" applyFill="1" applyFont="1">
      <alignment horizontal="right" vertical="bottom"/>
    </xf>
    <xf borderId="6" fillId="45" fontId="4" numFmtId="0" xfId="0" applyAlignment="1" applyBorder="1" applyFill="1" applyFont="1">
      <alignment horizontal="right" vertical="bottom"/>
    </xf>
    <xf borderId="5" fillId="46" fontId="4" numFmtId="0" xfId="0" applyAlignment="1" applyBorder="1" applyFill="1" applyFont="1">
      <alignment horizontal="right" vertical="bottom"/>
    </xf>
    <xf borderId="0" fillId="47" fontId="4" numFmtId="0" xfId="0" applyAlignment="1" applyFill="1" applyFont="1">
      <alignment horizontal="right" vertical="bottom"/>
    </xf>
    <xf borderId="0" fillId="48" fontId="4" numFmtId="0" xfId="0" applyAlignment="1" applyFill="1" applyFont="1">
      <alignment horizontal="right" vertical="bottom"/>
    </xf>
    <xf borderId="0" fillId="49" fontId="4" numFmtId="0" xfId="0" applyAlignment="1" applyFill="1" applyFont="1">
      <alignment horizontal="right" vertical="bottom"/>
    </xf>
    <xf borderId="6" fillId="50" fontId="4" numFmtId="0" xfId="0" applyAlignment="1" applyBorder="1" applyFill="1" applyFont="1">
      <alignment horizontal="right" vertical="bottom"/>
    </xf>
    <xf borderId="5" fillId="4" fontId="4" numFmtId="0" xfId="0" applyAlignment="1" applyBorder="1" applyFont="1">
      <alignment horizontal="right" vertical="bottom"/>
    </xf>
    <xf borderId="0" fillId="51" fontId="4" numFmtId="0" xfId="0" applyAlignment="1" applyFill="1" applyFont="1">
      <alignment horizontal="right" vertical="bottom"/>
    </xf>
    <xf borderId="6" fillId="52" fontId="4" numFmtId="0" xfId="0" applyAlignment="1" applyBorder="1" applyFill="1" applyFont="1">
      <alignment horizontal="right" vertical="bottom"/>
    </xf>
    <xf borderId="5" fillId="41" fontId="4" numFmtId="0" xfId="0" applyAlignment="1" applyBorder="1" applyFont="1">
      <alignment horizontal="right" vertical="bottom"/>
    </xf>
    <xf borderId="0" fillId="53" fontId="4" numFmtId="0" xfId="0" applyAlignment="1" applyFill="1" applyFont="1">
      <alignment horizontal="right" vertical="bottom"/>
    </xf>
    <xf borderId="6" fillId="54" fontId="4" numFmtId="0" xfId="0" applyAlignment="1" applyBorder="1" applyFill="1" applyFont="1">
      <alignment horizontal="right" vertical="bottom"/>
    </xf>
    <xf borderId="6" fillId="55" fontId="4" numFmtId="0" xfId="0" applyAlignment="1" applyBorder="1" applyFill="1" applyFont="1">
      <alignment horizontal="right" vertical="bottom"/>
    </xf>
    <xf borderId="0" fillId="56" fontId="4" numFmtId="0" xfId="0" applyAlignment="1" applyFill="1" applyFont="1">
      <alignment horizontal="right" vertical="bottom"/>
    </xf>
    <xf borderId="0" fillId="57" fontId="4" numFmtId="0" xfId="0" applyAlignment="1" applyFill="1" applyFont="1">
      <alignment horizontal="right" vertical="bottom"/>
    </xf>
    <xf borderId="6" fillId="58" fontId="4" numFmtId="0" xfId="0" applyAlignment="1" applyBorder="1" applyFill="1" applyFont="1">
      <alignment horizontal="right" vertical="bottom"/>
    </xf>
    <xf borderId="5" fillId="59" fontId="4" numFmtId="0" xfId="0" applyAlignment="1" applyBorder="1" applyFill="1" applyFont="1">
      <alignment horizontal="right" vertical="bottom"/>
    </xf>
    <xf borderId="0" fillId="60" fontId="4" numFmtId="0" xfId="0" applyAlignment="1" applyFill="1" applyFont="1">
      <alignment horizontal="right" vertical="bottom"/>
    </xf>
    <xf borderId="0" fillId="61" fontId="4" numFmtId="0" xfId="0" applyAlignment="1" applyFill="1" applyFont="1">
      <alignment horizontal="right" vertical="bottom"/>
    </xf>
    <xf borderId="0" fillId="62" fontId="4" numFmtId="0" xfId="0" applyAlignment="1" applyFill="1" applyFont="1">
      <alignment horizontal="right" vertical="bottom"/>
    </xf>
    <xf borderId="0" fillId="63" fontId="4" numFmtId="0" xfId="0" applyAlignment="1" applyFill="1" applyFont="1">
      <alignment horizontal="right" vertical="bottom"/>
    </xf>
    <xf borderId="0" fillId="64" fontId="4" numFmtId="0" xfId="0" applyAlignment="1" applyFill="1" applyFont="1">
      <alignment horizontal="right" vertical="bottom"/>
    </xf>
    <xf borderId="6" fillId="65" fontId="4" numFmtId="0" xfId="0" applyAlignment="1" applyBorder="1" applyFill="1" applyFont="1">
      <alignment horizontal="right" vertical="bottom"/>
    </xf>
    <xf borderId="5" fillId="66" fontId="4" numFmtId="0" xfId="0" applyAlignment="1" applyBorder="1" applyFill="1" applyFont="1">
      <alignment horizontal="right" vertical="bottom"/>
    </xf>
    <xf borderId="0" fillId="67" fontId="4" numFmtId="0" xfId="0" applyAlignment="1" applyFill="1" applyFont="1">
      <alignment horizontal="right" vertical="bottom"/>
    </xf>
    <xf borderId="0" fillId="68" fontId="4" numFmtId="0" xfId="0" applyAlignment="1" applyFill="1" applyFont="1">
      <alignment horizontal="right" vertical="bottom"/>
    </xf>
    <xf borderId="0" fillId="69" fontId="4" numFmtId="0" xfId="0" applyAlignment="1" applyFill="1" applyFont="1">
      <alignment horizontal="right" vertical="bottom"/>
    </xf>
    <xf borderId="6" fillId="70" fontId="4" numFmtId="0" xfId="0" applyAlignment="1" applyBorder="1" applyFill="1" applyFont="1">
      <alignment horizontal="right" vertical="bottom"/>
    </xf>
    <xf borderId="6" fillId="5" fontId="4" numFmtId="0" xfId="0" applyAlignment="1" applyBorder="1" applyFont="1">
      <alignment horizontal="right" vertical="bottom"/>
    </xf>
    <xf borderId="5" fillId="48" fontId="4" numFmtId="0" xfId="0" applyAlignment="1" applyBorder="1" applyFont="1">
      <alignment horizontal="right" vertical="bottom"/>
    </xf>
    <xf borderId="0" fillId="71" fontId="4" numFmtId="0" xfId="0" applyAlignment="1" applyFill="1" applyFont="1">
      <alignment horizontal="right" vertical="bottom"/>
    </xf>
    <xf borderId="0" fillId="72" fontId="4" numFmtId="0" xfId="0" applyAlignment="1" applyFill="1" applyFont="1">
      <alignment horizontal="right" vertical="bottom"/>
    </xf>
    <xf borderId="0" fillId="73" fontId="4" numFmtId="0" xfId="0" applyAlignment="1" applyFill="1" applyFont="1">
      <alignment horizontal="right" vertical="bottom"/>
    </xf>
    <xf borderId="6" fillId="74" fontId="4" numFmtId="0" xfId="0" applyAlignment="1" applyBorder="1" applyFill="1" applyFont="1">
      <alignment horizontal="right" vertical="bottom"/>
    </xf>
    <xf borderId="5" fillId="75" fontId="4" numFmtId="0" xfId="0" applyAlignment="1" applyBorder="1" applyFill="1" applyFont="1">
      <alignment horizontal="right" vertical="bottom"/>
    </xf>
    <xf borderId="0" fillId="76" fontId="4" numFmtId="0" xfId="0" applyAlignment="1" applyFill="1" applyFont="1">
      <alignment horizontal="right" vertical="bottom"/>
    </xf>
    <xf borderId="6" fillId="77" fontId="4" numFmtId="0" xfId="0" applyAlignment="1" applyBorder="1" applyFill="1" applyFont="1">
      <alignment horizontal="right" vertical="bottom"/>
    </xf>
    <xf borderId="5" fillId="78" fontId="4" numFmtId="0" xfId="0" applyAlignment="1" applyBorder="1" applyFill="1" applyFont="1">
      <alignment horizontal="right" vertical="bottom"/>
    </xf>
    <xf borderId="0" fillId="79" fontId="4" numFmtId="0" xfId="0" applyAlignment="1" applyFill="1" applyFont="1">
      <alignment horizontal="right" vertical="bottom"/>
    </xf>
    <xf borderId="0" fillId="80" fontId="4" numFmtId="0" xfId="0" applyAlignment="1" applyFill="1" applyFont="1">
      <alignment horizontal="right" vertical="bottom"/>
    </xf>
    <xf borderId="0" fillId="81" fontId="4" numFmtId="0" xfId="0" applyAlignment="1" applyFill="1" applyFont="1">
      <alignment horizontal="right" vertical="bottom"/>
    </xf>
    <xf borderId="6" fillId="82" fontId="4" numFmtId="0" xfId="0" applyAlignment="1" applyBorder="1" applyFill="1" applyFont="1">
      <alignment horizontal="right" vertical="bottom"/>
    </xf>
    <xf borderId="5" fillId="83" fontId="4" numFmtId="0" xfId="0" applyAlignment="1" applyBorder="1" applyFill="1" applyFont="1">
      <alignment horizontal="right" vertical="bottom"/>
    </xf>
    <xf borderId="0" fillId="84" fontId="4" numFmtId="0" xfId="0" applyAlignment="1" applyFill="1" applyFont="1">
      <alignment horizontal="right" vertical="bottom"/>
    </xf>
    <xf borderId="6" fillId="29" fontId="4" numFmtId="0" xfId="0" applyAlignment="1" applyBorder="1" applyFont="1">
      <alignment horizontal="right" vertical="bottom"/>
    </xf>
    <xf borderId="0" fillId="85" fontId="4" numFmtId="0" xfId="0" applyAlignment="1" applyFill="1" applyFont="1">
      <alignment horizontal="right" vertical="bottom"/>
    </xf>
    <xf borderId="6" fillId="86" fontId="4" numFmtId="0" xfId="0" applyAlignment="1" applyBorder="1" applyFill="1" applyFont="1">
      <alignment horizontal="right" vertical="bottom"/>
    </xf>
    <xf borderId="5" fillId="87" fontId="4" numFmtId="0" xfId="0" applyAlignment="1" applyBorder="1" applyFill="1" applyFont="1">
      <alignment horizontal="right" vertical="bottom"/>
    </xf>
    <xf borderId="0" fillId="88" fontId="4" numFmtId="0" xfId="0" applyAlignment="1" applyFill="1" applyFont="1">
      <alignment horizontal="right" vertical="bottom"/>
    </xf>
    <xf borderId="0" fillId="89" fontId="4" numFmtId="0" xfId="0" applyAlignment="1" applyFill="1" applyFont="1">
      <alignment horizontal="right" vertical="bottom"/>
    </xf>
    <xf borderId="0" fillId="54" fontId="4" numFmtId="0" xfId="0" applyAlignment="1" applyFont="1">
      <alignment horizontal="right" vertical="bottom"/>
    </xf>
    <xf borderId="6" fillId="79" fontId="4" numFmtId="0" xfId="0" applyAlignment="1" applyBorder="1" applyFont="1">
      <alignment horizontal="right" vertical="bottom"/>
    </xf>
    <xf borderId="5" fillId="90" fontId="4" numFmtId="0" xfId="0" applyAlignment="1" applyBorder="1" applyFill="1" applyFont="1">
      <alignment horizontal="right" vertical="bottom"/>
    </xf>
    <xf borderId="0" fillId="29" fontId="5" numFmtId="0" xfId="0" applyAlignment="1" applyFont="1">
      <alignment horizontal="right" vertical="bottom"/>
    </xf>
    <xf borderId="0" fillId="29" fontId="4" numFmtId="0" xfId="0" applyAlignment="1" applyFont="1">
      <alignment horizontal="right" vertical="bottom"/>
    </xf>
    <xf borderId="0" fillId="91" fontId="4" numFmtId="0" xfId="0" applyAlignment="1" applyFill="1" applyFont="1">
      <alignment horizontal="right" vertical="bottom"/>
    </xf>
    <xf borderId="6" fillId="92" fontId="4" numFmtId="0" xfId="0" applyAlignment="1" applyBorder="1" applyFill="1" applyFont="1">
      <alignment horizontal="right" vertical="bottom"/>
    </xf>
    <xf borderId="6" fillId="0" fontId="1" numFmtId="0" xfId="0" applyAlignment="1" applyBorder="1" applyFont="1">
      <alignment readingOrder="0"/>
    </xf>
    <xf borderId="6" fillId="0" fontId="4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1" numFmtId="0" xfId="0" applyAlignment="1" applyBorder="1" applyFont="1">
      <alignment horizontal="left" readingOrder="0"/>
    </xf>
    <xf borderId="5" fillId="93" fontId="4" numFmtId="0" xfId="0" applyAlignment="1" applyBorder="1" applyFill="1" applyFont="1">
      <alignment horizontal="right" vertical="bottom"/>
    </xf>
    <xf borderId="0" fillId="94" fontId="4" numFmtId="0" xfId="0" applyAlignment="1" applyFill="1" applyFont="1">
      <alignment horizontal="right" vertical="bottom"/>
    </xf>
    <xf borderId="0" fillId="95" fontId="4" numFmtId="0" xfId="0" applyAlignment="1" applyFill="1" applyFont="1">
      <alignment horizontal="right" vertical="bottom"/>
    </xf>
    <xf borderId="0" fillId="96" fontId="4" numFmtId="0" xfId="0" applyAlignment="1" applyFill="1" applyFont="1">
      <alignment horizontal="right" vertical="bottom"/>
    </xf>
    <xf borderId="6" fillId="44" fontId="4" numFmtId="0" xfId="0" applyAlignment="1" applyBorder="1" applyFont="1">
      <alignment horizontal="right" vertical="bottom"/>
    </xf>
    <xf borderId="5" fillId="97" fontId="4" numFmtId="0" xfId="0" applyAlignment="1" applyBorder="1" applyFill="1" applyFont="1">
      <alignment horizontal="right" vertical="bottom"/>
    </xf>
    <xf borderId="6" fillId="43" fontId="4" numFmtId="0" xfId="0" applyAlignment="1" applyBorder="1" applyFont="1">
      <alignment horizontal="right" vertical="bottom"/>
    </xf>
    <xf borderId="6" fillId="66" fontId="4" numFmtId="0" xfId="0" applyAlignment="1" applyBorder="1" applyFont="1">
      <alignment horizontal="right" vertical="bottom"/>
    </xf>
    <xf borderId="5" fillId="98" fontId="4" numFmtId="0" xfId="0" applyAlignment="1" applyBorder="1" applyFill="1" applyFont="1">
      <alignment horizontal="right" vertical="bottom"/>
    </xf>
    <xf borderId="0" fillId="99" fontId="4" numFmtId="0" xfId="0" applyAlignment="1" applyFill="1" applyFont="1">
      <alignment horizontal="right" vertical="bottom"/>
    </xf>
    <xf borderId="0" fillId="100" fontId="4" numFmtId="0" xfId="0" applyAlignment="1" applyFill="1" applyFont="1">
      <alignment horizontal="right" vertical="bottom"/>
    </xf>
    <xf borderId="0" fillId="78" fontId="4" numFmtId="0" xfId="0" applyAlignment="1" applyFont="1">
      <alignment horizontal="right" vertical="bottom"/>
    </xf>
    <xf borderId="6" fillId="26" fontId="4" numFmtId="0" xfId="0" applyAlignment="1" applyBorder="1" applyFont="1">
      <alignment horizontal="right" vertical="bottom"/>
    </xf>
    <xf borderId="0" fillId="101" fontId="4" numFmtId="0" xfId="0" applyAlignment="1" applyFill="1" applyFont="1">
      <alignment horizontal="right" vertical="bottom"/>
    </xf>
    <xf borderId="0" fillId="102" fontId="4" numFmtId="0" xfId="0" applyAlignment="1" applyFill="1" applyFont="1">
      <alignment horizontal="right" vertical="bottom"/>
    </xf>
    <xf borderId="0" fillId="103" fontId="4" numFmtId="0" xfId="0" applyAlignment="1" applyFill="1" applyFont="1">
      <alignment horizontal="right" vertical="bottom"/>
    </xf>
    <xf borderId="0" fillId="104" fontId="4" numFmtId="0" xfId="0" applyAlignment="1" applyFill="1" applyFont="1">
      <alignment horizontal="right" vertical="bottom"/>
    </xf>
    <xf borderId="6" fillId="105" fontId="4" numFmtId="0" xfId="0" applyAlignment="1" applyBorder="1" applyFill="1" applyFont="1">
      <alignment horizontal="right" vertical="bottom"/>
    </xf>
    <xf borderId="5" fillId="0" fontId="4" numFmtId="0" xfId="0" applyAlignment="1" applyBorder="1" applyFont="1">
      <alignment horizontal="left" readingOrder="0" vertical="bottom"/>
    </xf>
    <xf borderId="7" fillId="0" fontId="1" numFmtId="0" xfId="0" applyBorder="1" applyFont="1"/>
    <xf borderId="8" fillId="0" fontId="1" numFmtId="0" xfId="0" applyBorder="1" applyFont="1"/>
    <xf borderId="5" fillId="106" fontId="4" numFmtId="0" xfId="0" applyAlignment="1" applyBorder="1" applyFill="1" applyFont="1">
      <alignment horizontal="right" vertical="bottom"/>
    </xf>
    <xf borderId="0" fillId="107" fontId="4" numFmtId="0" xfId="0" applyAlignment="1" applyFill="1" applyFont="1">
      <alignment horizontal="right" vertical="bottom"/>
    </xf>
    <xf borderId="0" fillId="108" fontId="4" numFmtId="0" xfId="0" applyAlignment="1" applyFill="1" applyFont="1">
      <alignment horizontal="right" vertical="bottom"/>
    </xf>
    <xf borderId="6" fillId="67" fontId="4" numFmtId="0" xfId="0" applyAlignment="1" applyBorder="1" applyFont="1">
      <alignment horizontal="right" vertical="bottom"/>
    </xf>
    <xf borderId="5" fillId="109" fontId="4" numFmtId="0" xfId="0" applyAlignment="1" applyBorder="1" applyFill="1" applyFont="1">
      <alignment horizontal="right" vertical="bottom"/>
    </xf>
    <xf borderId="6" fillId="8" fontId="4" numFmtId="0" xfId="0" applyAlignment="1" applyBorder="1" applyFont="1">
      <alignment horizontal="right" vertical="bottom"/>
    </xf>
    <xf borderId="5" fillId="110" fontId="4" numFmtId="0" xfId="0" applyAlignment="1" applyBorder="1" applyFill="1" applyFont="1">
      <alignment horizontal="right" vertical="bottom"/>
    </xf>
    <xf borderId="6" fillId="111" fontId="4" numFmtId="0" xfId="0" applyAlignment="1" applyBorder="1" applyFill="1" applyFont="1">
      <alignment horizontal="right" vertical="bottom"/>
    </xf>
    <xf borderId="5" fillId="112" fontId="4" numFmtId="0" xfId="0" applyAlignment="1" applyBorder="1" applyFill="1" applyFont="1">
      <alignment horizontal="right" vertical="bottom"/>
    </xf>
    <xf borderId="0" fillId="22" fontId="4" numFmtId="0" xfId="0" applyAlignment="1" applyFont="1">
      <alignment horizontal="right" vertical="bottom"/>
    </xf>
    <xf borderId="0" fillId="113" fontId="4" numFmtId="0" xfId="0" applyAlignment="1" applyFill="1" applyFont="1">
      <alignment horizontal="right" vertical="bottom"/>
    </xf>
    <xf borderId="0" fillId="114" fontId="4" numFmtId="0" xfId="0" applyAlignment="1" applyFill="1" applyFont="1">
      <alignment horizontal="right" vertical="bottom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2" fillId="0" fontId="4" numFmtId="0" xfId="0" applyAlignment="1" applyBorder="1" applyFont="1">
      <alignment horizontal="left" vertical="bottom"/>
    </xf>
    <xf borderId="3" fillId="0" fontId="4" numFmtId="0" xfId="0" applyAlignment="1" applyBorder="1" applyFont="1">
      <alignment horizontal="left" vertical="bottom"/>
    </xf>
    <xf borderId="3" fillId="0" fontId="4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 vertical="bottom"/>
    </xf>
    <xf borderId="3" fillId="0" fontId="1" numFmtId="0" xfId="0" applyBorder="1" applyFont="1"/>
    <xf borderId="2" fillId="42" fontId="4" numFmtId="0" xfId="0" applyAlignment="1" applyBorder="1" applyFont="1">
      <alignment horizontal="right" vertical="bottom"/>
    </xf>
    <xf borderId="3" fillId="5" fontId="4" numFmtId="0" xfId="0" applyAlignment="1" applyBorder="1" applyFont="1">
      <alignment horizontal="right" vertical="bottom"/>
    </xf>
    <xf borderId="3" fillId="115" fontId="4" numFmtId="0" xfId="0" applyAlignment="1" applyBorder="1" applyFill="1" applyFont="1">
      <alignment horizontal="right" vertical="bottom"/>
    </xf>
    <xf borderId="3" fillId="4" fontId="4" numFmtId="0" xfId="0" applyAlignment="1" applyBorder="1" applyFont="1">
      <alignment horizontal="right" vertical="bottom"/>
    </xf>
    <xf borderId="4" fillId="16" fontId="4" numFmtId="0" xfId="0" applyAlignment="1" applyBorder="1" applyFont="1">
      <alignment horizontal="right" vertical="bottom"/>
    </xf>
    <xf borderId="2" fillId="116" fontId="4" numFmtId="0" xfId="0" applyAlignment="1" applyBorder="1" applyFill="1" applyFont="1">
      <alignment horizontal="right" vertical="bottom"/>
    </xf>
    <xf borderId="3" fillId="10" fontId="4" numFmtId="0" xfId="0" applyAlignment="1" applyBorder="1" applyFont="1">
      <alignment horizontal="right" vertical="bottom"/>
    </xf>
    <xf borderId="4" fillId="38" fontId="4" numFmtId="0" xfId="0" applyAlignment="1" applyBorder="1" applyFont="1">
      <alignment horizontal="right" vertical="bottom"/>
    </xf>
    <xf borderId="4" fillId="28" fontId="4" numFmtId="0" xfId="0" applyAlignment="1" applyBorder="1" applyFont="1">
      <alignment horizontal="right" vertical="bottom"/>
    </xf>
    <xf borderId="2" fillId="117" fontId="4" numFmtId="0" xfId="0" applyAlignment="1" applyBorder="1" applyFill="1" applyFont="1">
      <alignment horizontal="right" vertical="bottom"/>
    </xf>
    <xf borderId="3" fillId="37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horizontal="right" vertical="bottom"/>
    </xf>
    <xf borderId="2" fillId="4" fontId="4" numFmtId="0" xfId="0" applyAlignment="1" applyBorder="1" applyFont="1">
      <alignment horizontal="right" vertical="bottom"/>
    </xf>
    <xf borderId="3" fillId="42" fontId="4" numFmtId="0" xfId="0" applyAlignment="1" applyBorder="1" applyFont="1">
      <alignment horizontal="right" vertical="bottom"/>
    </xf>
    <xf borderId="3" fillId="3" fontId="4" numFmtId="0" xfId="0" applyAlignment="1" applyBorder="1" applyFont="1">
      <alignment horizontal="right" vertical="bottom"/>
    </xf>
    <xf borderId="3" fillId="46" fontId="4" numFmtId="0" xfId="0" applyAlignment="1" applyBorder="1" applyFont="1">
      <alignment horizontal="right" vertical="bottom"/>
    </xf>
    <xf borderId="3" fillId="118" fontId="4" numFmtId="0" xfId="0" applyAlignment="1" applyBorder="1" applyFill="1" applyFont="1">
      <alignment horizontal="right" vertical="bottom"/>
    </xf>
    <xf borderId="4" fillId="119" fontId="4" numFmtId="0" xfId="0" applyAlignment="1" applyBorder="1" applyFill="1" applyFont="1">
      <alignment horizontal="right" vertical="bottom"/>
    </xf>
    <xf borderId="3" fillId="0" fontId="1" numFmtId="0" xfId="0" applyBorder="1" applyFont="1"/>
    <xf borderId="5" fillId="120" fontId="4" numFmtId="0" xfId="0" applyAlignment="1" applyBorder="1" applyFill="1" applyFont="1">
      <alignment horizontal="right" vertical="bottom"/>
    </xf>
    <xf borderId="0" fillId="121" fontId="4" numFmtId="0" xfId="0" applyAlignment="1" applyFill="1" applyFont="1">
      <alignment horizontal="right" vertical="bottom"/>
    </xf>
    <xf borderId="6" fillId="60" fontId="4" numFmtId="0" xfId="0" applyAlignment="1" applyBorder="1" applyFont="1">
      <alignment horizontal="right" vertical="bottom"/>
    </xf>
    <xf borderId="5" fillId="122" fontId="4" numFmtId="0" xfId="0" applyAlignment="1" applyBorder="1" applyFill="1" applyFont="1">
      <alignment horizontal="right" vertical="bottom"/>
    </xf>
    <xf borderId="0" fillId="123" fontId="4" numFmtId="0" xfId="0" applyAlignment="1" applyFill="1" applyFont="1">
      <alignment horizontal="right" vertical="bottom"/>
    </xf>
    <xf borderId="6" fillId="124" fontId="4" numFmtId="0" xfId="0" applyAlignment="1" applyBorder="1" applyFill="1" applyFont="1">
      <alignment horizontal="right" vertical="bottom"/>
    </xf>
    <xf borderId="5" fillId="125" fontId="4" numFmtId="0" xfId="0" applyAlignment="1" applyBorder="1" applyFill="1" applyFont="1">
      <alignment horizontal="right" vertical="bottom"/>
    </xf>
    <xf borderId="0" fillId="126" fontId="4" numFmtId="0" xfId="0" applyAlignment="1" applyFill="1" applyFont="1">
      <alignment horizontal="right" vertical="bottom"/>
    </xf>
    <xf borderId="0" fillId="127" fontId="4" numFmtId="0" xfId="0" applyAlignment="1" applyFill="1" applyFont="1">
      <alignment horizontal="right" vertical="bottom"/>
    </xf>
    <xf borderId="0" fillId="128" fontId="4" numFmtId="0" xfId="0" applyAlignment="1" applyFill="1" applyFont="1">
      <alignment horizontal="right" vertical="bottom"/>
    </xf>
    <xf borderId="6" fillId="129" fontId="4" numFmtId="0" xfId="0" applyAlignment="1" applyBorder="1" applyFill="1" applyFont="1">
      <alignment horizontal="right" vertical="bottom"/>
    </xf>
    <xf borderId="5" fillId="130" fontId="4" numFmtId="0" xfId="0" applyAlignment="1" applyBorder="1" applyFill="1" applyFont="1">
      <alignment horizontal="right" vertical="bottom"/>
    </xf>
    <xf borderId="0" fillId="120" fontId="4" numFmtId="0" xfId="0" applyAlignment="1" applyFont="1">
      <alignment horizontal="right" vertical="bottom"/>
    </xf>
    <xf borderId="0" fillId="131" fontId="4" numFmtId="0" xfId="0" applyAlignment="1" applyFill="1" applyFont="1">
      <alignment horizontal="right" vertical="bottom"/>
    </xf>
    <xf borderId="0" fillId="132" fontId="4" numFmtId="0" xfId="0" applyAlignment="1" applyFill="1" applyFont="1">
      <alignment horizontal="right" vertical="bottom"/>
    </xf>
    <xf borderId="0" fillId="133" fontId="4" numFmtId="0" xfId="0" applyAlignment="1" applyFill="1" applyFont="1">
      <alignment horizontal="right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134" fontId="4" numFmtId="0" xfId="0" applyAlignment="1" applyFill="1" applyFont="1">
      <alignment horizontal="right" vertical="bottom"/>
    </xf>
    <xf borderId="0" fillId="97" fontId="4" numFmtId="0" xfId="0" applyAlignment="1" applyFont="1">
      <alignment horizontal="right" vertical="bottom"/>
    </xf>
    <xf borderId="0" fillId="135" fontId="4" numFmtId="0" xfId="0" applyAlignment="1" applyFill="1" applyFont="1">
      <alignment horizontal="right" vertical="bottom"/>
    </xf>
    <xf borderId="0" fillId="136" fontId="4" numFmtId="0" xfId="0" applyAlignment="1" applyFill="1" applyFont="1">
      <alignment horizontal="right" vertical="bottom"/>
    </xf>
    <xf borderId="0" fillId="137" fontId="4" numFmtId="0" xfId="0" applyAlignment="1" applyFill="1" applyFont="1">
      <alignment horizontal="right" vertical="bottom"/>
    </xf>
    <xf borderId="0" fillId="90" fontId="4" numFmtId="0" xfId="0" applyAlignment="1" applyFont="1">
      <alignment horizontal="right" vertical="bottom"/>
    </xf>
    <xf borderId="0" fillId="138" fontId="4" numFmtId="0" xfId="0" applyAlignment="1" applyFill="1" applyFont="1">
      <alignment horizontal="right" vertical="bottom"/>
    </xf>
    <xf borderId="0" fillId="19" fontId="4" numFmtId="0" xfId="0" applyAlignment="1" applyFont="1">
      <alignment horizontal="right" vertical="bottom"/>
    </xf>
    <xf borderId="0" fillId="139" fontId="4" numFmtId="0" xfId="0" applyAlignment="1" applyFill="1" applyFont="1">
      <alignment horizontal="right" vertical="bottom"/>
    </xf>
    <xf borderId="0" fillId="140" fontId="4" numFmtId="0" xfId="0" applyAlignment="1" applyFill="1" applyFont="1">
      <alignment horizontal="right" vertical="bottom"/>
    </xf>
    <xf borderId="0" fillId="98" fontId="4" numFmtId="0" xfId="0" applyAlignment="1" applyFont="1">
      <alignment horizontal="right" vertical="bottom"/>
    </xf>
    <xf borderId="0" fillId="66" fontId="4" numFmtId="0" xfId="0" applyAlignment="1" applyFont="1">
      <alignment horizontal="right" vertical="bottom"/>
    </xf>
    <xf borderId="6" fillId="0" fontId="4" numFmtId="0" xfId="0" applyAlignment="1" applyBorder="1" applyFont="1">
      <alignment vertical="bottom"/>
    </xf>
    <xf borderId="5" fillId="58" fontId="4" numFmtId="0" xfId="0" applyAlignment="1" applyBorder="1" applyFont="1">
      <alignment horizontal="right" vertical="bottom"/>
    </xf>
    <xf borderId="0" fillId="141" fontId="4" numFmtId="0" xfId="0" applyAlignment="1" applyFill="1" applyFont="1">
      <alignment horizontal="right" vertical="bottom"/>
    </xf>
    <xf borderId="0" fillId="142" fontId="4" numFmtId="0" xfId="0" applyAlignment="1" applyFill="1" applyFont="1">
      <alignment horizontal="right" vertical="bottom"/>
    </xf>
    <xf borderId="6" fillId="93" fontId="4" numFmtId="0" xfId="0" applyAlignment="1" applyBorder="1" applyFont="1">
      <alignment horizontal="right" vertical="bottom"/>
    </xf>
    <xf borderId="5" fillId="143" fontId="4" numFmtId="0" xfId="0" applyAlignment="1" applyBorder="1" applyFill="1" applyFont="1">
      <alignment horizontal="right" vertical="bottom"/>
    </xf>
    <xf borderId="0" fillId="143" fontId="4" numFmtId="0" xfId="0" applyAlignment="1" applyFont="1">
      <alignment horizontal="right" vertical="bottom"/>
    </xf>
    <xf borderId="0" fillId="10" fontId="4" numFmtId="0" xfId="0" applyAlignment="1" applyFont="1">
      <alignment vertical="bottom"/>
    </xf>
    <xf borderId="0" fillId="66" fontId="4" numFmtId="0" xfId="0" applyAlignment="1" applyFont="1">
      <alignment vertical="bottom"/>
    </xf>
    <xf borderId="0" fillId="11" fontId="4" numFmtId="0" xfId="0" applyAlignment="1" applyFont="1">
      <alignment vertical="bottom"/>
    </xf>
    <xf borderId="6" fillId="10" fontId="4" numFmtId="0" xfId="0" applyAlignment="1" applyBorder="1" applyFont="1">
      <alignment vertical="bottom"/>
    </xf>
    <xf borderId="5" fillId="80" fontId="4" numFmtId="0" xfId="0" applyAlignment="1" applyBorder="1" applyFont="1">
      <alignment horizontal="right" vertical="bottom"/>
    </xf>
    <xf borderId="6" fillId="135" fontId="4" numFmtId="0" xfId="0" applyAlignment="1" applyBorder="1" applyFont="1">
      <alignment horizontal="right" vertical="bottom"/>
    </xf>
    <xf borderId="0" fillId="144" fontId="4" numFmtId="0" xfId="0" applyAlignment="1" applyFill="1" applyFont="1">
      <alignment horizontal="right" vertical="bottom"/>
    </xf>
    <xf borderId="6" fillId="37" fontId="4" numFmtId="0" xfId="0" applyAlignment="1" applyBorder="1" applyFont="1">
      <alignment horizontal="right" vertical="bottom"/>
    </xf>
    <xf borderId="5" fillId="67" fontId="4" numFmtId="0" xfId="0" applyAlignment="1" applyBorder="1" applyFont="1">
      <alignment horizontal="right" vertical="bottom"/>
    </xf>
    <xf borderId="0" fillId="58" fontId="4" numFmtId="0" xfId="0" applyAlignment="1" applyFont="1">
      <alignment horizontal="right" vertical="bottom"/>
    </xf>
    <xf borderId="6" fillId="22" fontId="4" numFmtId="0" xfId="0" applyAlignment="1" applyBorder="1" applyFont="1">
      <alignment horizontal="right" vertical="bottom"/>
    </xf>
    <xf borderId="5" fillId="5" fontId="4" numFmtId="0" xfId="0" applyAlignment="1" applyBorder="1" applyFont="1">
      <alignment horizontal="right" vertical="bottom"/>
    </xf>
    <xf borderId="0" fillId="145" fontId="4" numFmtId="0" xfId="0" applyAlignment="1" applyFill="1" applyFont="1">
      <alignment horizontal="right" vertical="bottom"/>
    </xf>
    <xf borderId="0" fillId="82" fontId="4" numFmtId="0" xfId="0" applyAlignment="1" applyFont="1">
      <alignment horizontal="right" vertical="bottom"/>
    </xf>
    <xf borderId="6" fillId="146" fontId="4" numFmtId="0" xfId="0" applyAlignment="1" applyBorder="1" applyFill="1" applyFont="1">
      <alignment horizontal="right" vertical="bottom"/>
    </xf>
    <xf borderId="5" fillId="43" fontId="4" numFmtId="0" xfId="0" applyAlignment="1" applyBorder="1" applyFont="1">
      <alignment horizontal="right" vertical="bottom"/>
    </xf>
    <xf borderId="0" fillId="147" fontId="4" numFmtId="0" xfId="0" applyAlignment="1" applyFill="1" applyFont="1">
      <alignment horizontal="right" vertical="bottom"/>
    </xf>
    <xf borderId="6" fillId="148" fontId="4" numFmtId="0" xfId="0" applyAlignment="1" applyBorder="1" applyFill="1" applyFont="1">
      <alignment horizontal="right" vertical="bottom"/>
    </xf>
    <xf borderId="5" fillId="37" fontId="4" numFmtId="0" xfId="0" applyAlignment="1" applyBorder="1" applyFont="1">
      <alignment horizontal="right" vertical="bottom"/>
    </xf>
    <xf borderId="0" fillId="46" fontId="4" numFmtId="0" xfId="0" applyAlignment="1" applyFont="1">
      <alignment horizontal="right" vertical="bottom"/>
    </xf>
    <xf borderId="0" fillId="149" fontId="4" numFmtId="0" xfId="0" applyAlignment="1" applyFill="1" applyFont="1">
      <alignment horizontal="right" vertical="bottom"/>
    </xf>
    <xf borderId="6" fillId="150" fontId="4" numFmtId="0" xfId="0" applyAlignment="1" applyBorder="1" applyFill="1" applyFont="1">
      <alignment horizontal="right" vertical="bottom"/>
    </xf>
    <xf borderId="6" fillId="69" fontId="4" numFmtId="0" xfId="0" applyAlignment="1" applyBorder="1" applyFont="1">
      <alignment horizontal="right" vertical="bottom"/>
    </xf>
    <xf borderId="5" fillId="44" fontId="4" numFmtId="0" xfId="0" applyAlignment="1" applyBorder="1" applyFont="1">
      <alignment horizontal="right" vertical="bottom"/>
    </xf>
    <xf borderId="0" fillId="151" fontId="4" numFmtId="0" xfId="0" applyAlignment="1" applyFill="1" applyFont="1">
      <alignment horizontal="right" vertical="bottom"/>
    </xf>
    <xf borderId="0" fillId="152" fontId="4" numFmtId="0" xfId="0" applyAlignment="1" applyFill="1" applyFont="1">
      <alignment horizontal="right" vertical="bottom"/>
    </xf>
    <xf borderId="0" fillId="125" fontId="4" numFmtId="0" xfId="0" applyAlignment="1" applyFont="1">
      <alignment horizontal="right" vertical="bottom"/>
    </xf>
    <xf borderId="6" fillId="153" fontId="4" numFmtId="0" xfId="0" applyAlignment="1" applyBorder="1" applyFill="1" applyFont="1">
      <alignment horizontal="right" vertical="bottom"/>
    </xf>
    <xf borderId="0" fillId="45" fontId="4" numFmtId="0" xfId="0" applyAlignment="1" applyFont="1">
      <alignment horizontal="right" vertical="bottom"/>
    </xf>
    <xf borderId="0" fillId="154" fontId="4" numFmtId="0" xfId="0" applyAlignment="1" applyFill="1" applyFont="1">
      <alignment horizontal="right" vertical="bottom"/>
    </xf>
    <xf borderId="6" fillId="155" fontId="4" numFmtId="0" xfId="0" applyAlignment="1" applyBorder="1" applyFill="1" applyFont="1">
      <alignment horizontal="right" vertical="bottom"/>
    </xf>
    <xf borderId="0" fillId="156" fontId="4" numFmtId="0" xfId="0" applyAlignment="1" applyFill="1" applyFont="1">
      <alignment horizontal="right" vertical="bottom"/>
    </xf>
    <xf borderId="6" fillId="90" fontId="4" numFmtId="0" xfId="0" applyAlignment="1" applyBorder="1" applyFont="1">
      <alignment horizontal="right" vertical="bottom"/>
    </xf>
    <xf borderId="0" fillId="157" fontId="4" numFmtId="0" xfId="0" applyAlignment="1" applyFill="1" applyFont="1">
      <alignment horizontal="right" vertical="bottom"/>
    </xf>
    <xf borderId="6" fillId="55" fontId="4" numFmtId="0" xfId="0" applyAlignment="1" applyBorder="1" applyFont="1">
      <alignment horizontal="right" vertical="bottom"/>
    </xf>
    <xf borderId="5" fillId="10" fontId="4" numFmtId="0" xfId="0" applyAlignment="1" applyBorder="1" applyFont="1">
      <alignment horizontal="right" vertical="bottom"/>
    </xf>
    <xf borderId="6" fillId="158" fontId="4" numFmtId="0" xfId="0" applyAlignment="1" applyBorder="1" applyFill="1" applyFont="1">
      <alignment horizontal="right" vertical="bottom"/>
    </xf>
    <xf borderId="0" fillId="159" fontId="4" numFmtId="0" xfId="0" applyAlignment="1" applyFill="1" applyFont="1">
      <alignment horizontal="right" vertical="bottom"/>
    </xf>
    <xf borderId="0" fillId="160" fontId="4" numFmtId="0" xfId="0" applyAlignment="1" applyFill="1" applyFont="1">
      <alignment horizontal="right" vertical="bottom"/>
    </xf>
    <xf borderId="0" fillId="161" fontId="4" numFmtId="0" xfId="0" applyAlignment="1" applyFill="1" applyFont="1">
      <alignment horizontal="right" vertical="bottom"/>
    </xf>
    <xf borderId="6" fillId="162" fontId="4" numFmtId="0" xfId="0" applyAlignment="1" applyBorder="1" applyFill="1" applyFont="1">
      <alignment horizontal="right" vertical="bottom"/>
    </xf>
    <xf borderId="5" fillId="29" fontId="3" numFmtId="0" xfId="0" applyAlignment="1" applyBorder="1" applyFont="1">
      <alignment horizontal="right" vertical="bottom"/>
    </xf>
    <xf borderId="0" fillId="163" fontId="4" numFmtId="0" xfId="0" applyAlignment="1" applyFill="1" applyFont="1">
      <alignment horizontal="right" vertical="bottom"/>
    </xf>
    <xf borderId="0" fillId="164" fontId="4" numFmtId="0" xfId="0" applyAlignment="1" applyFill="1" applyFont="1">
      <alignment horizontal="right" vertical="bottom"/>
    </xf>
    <xf borderId="0" fillId="165" fontId="4" numFmtId="0" xfId="0" applyAlignment="1" applyFill="1" applyFont="1">
      <alignment horizontal="right" vertical="bottom"/>
    </xf>
    <xf borderId="6" fillId="33" fontId="4" numFmtId="0" xfId="0" applyAlignment="1" applyBorder="1" applyFont="1">
      <alignment horizontal="right" vertical="bottom"/>
    </xf>
    <xf borderId="5" fillId="166" fontId="4" numFmtId="0" xfId="0" applyAlignment="1" applyBorder="1" applyFill="1" applyFont="1">
      <alignment horizontal="right" vertical="bottom"/>
    </xf>
    <xf borderId="6" fillId="62" fontId="4" numFmtId="0" xfId="0" applyAlignment="1" applyBorder="1" applyFont="1">
      <alignment horizontal="right" vertical="bottom"/>
    </xf>
    <xf borderId="5" fillId="167" fontId="4" numFmtId="0" xfId="0" applyAlignment="1" applyBorder="1" applyFill="1" applyFont="1">
      <alignment horizontal="right" vertical="bottom"/>
    </xf>
    <xf borderId="0" fillId="111" fontId="4" numFmtId="0" xfId="0" applyAlignment="1" applyFont="1">
      <alignment horizontal="right" vertical="bottom"/>
    </xf>
    <xf borderId="0" fillId="168" fontId="4" numFmtId="0" xfId="0" applyAlignment="1" applyFill="1" applyFont="1">
      <alignment horizontal="right" vertical="bottom"/>
    </xf>
    <xf borderId="0" fillId="122" fontId="4" numFmtId="0" xfId="0" applyAlignment="1" applyFont="1">
      <alignment horizontal="right" vertical="bottom"/>
    </xf>
    <xf borderId="5" fillId="96" fontId="4" numFmtId="0" xfId="0" applyAlignment="1" applyBorder="1" applyFont="1">
      <alignment horizontal="right" vertical="bottom"/>
    </xf>
    <xf borderId="0" fillId="169" fontId="4" numFmtId="0" xfId="0" applyAlignment="1" applyFill="1" applyFont="1">
      <alignment horizontal="right" vertical="bottom"/>
    </xf>
    <xf borderId="0" fillId="170" fontId="4" numFmtId="0" xfId="0" applyAlignment="1" applyFill="1" applyFont="1">
      <alignment horizontal="right" vertical="bottom"/>
    </xf>
    <xf borderId="6" fillId="171" fontId="4" numFmtId="0" xfId="0" applyAlignment="1" applyBorder="1" applyFill="1" applyFont="1">
      <alignment horizontal="right" vertical="bottom"/>
    </xf>
    <xf borderId="5" fillId="32" fontId="4" numFmtId="0" xfId="0" applyAlignment="1" applyBorder="1" applyFont="1">
      <alignment horizontal="right" vertical="bottom"/>
    </xf>
    <xf borderId="0" fillId="29" fontId="3" numFmtId="0" xfId="0" applyAlignment="1" applyFont="1">
      <alignment horizontal="right" vertical="bottom"/>
    </xf>
    <xf borderId="6" fillId="29" fontId="5" numFmtId="0" xfId="0" applyAlignment="1" applyBorder="1" applyFont="1">
      <alignment horizontal="right" vertical="bottom"/>
    </xf>
    <xf borderId="6" fillId="172" fontId="4" numFmtId="0" xfId="0" applyAlignment="1" applyBorder="1" applyFill="1" applyFont="1">
      <alignment horizontal="right" vertical="bottom"/>
    </xf>
    <xf borderId="6" fillId="99" fontId="4" numFmtId="0" xfId="0" applyAlignment="1" applyBorder="1" applyFont="1">
      <alignment horizontal="right" vertical="bottom"/>
    </xf>
    <xf borderId="0" fillId="87" fontId="4" numFmtId="0" xfId="0" applyAlignment="1" applyFont="1">
      <alignment horizontal="right" vertical="bottom"/>
    </xf>
    <xf borderId="5" fillId="100" fontId="4" numFmtId="0" xfId="0" applyAlignment="1" applyBorder="1" applyFont="1">
      <alignment horizontal="right" vertical="bottom"/>
    </xf>
    <xf borderId="0" fillId="173" fontId="4" numFmtId="0" xfId="0" applyAlignment="1" applyFill="1" applyFont="1">
      <alignment horizontal="right" vertical="bottom"/>
    </xf>
    <xf borderId="0" fillId="25" fontId="4" numFmtId="0" xfId="0" applyAlignment="1" applyFont="1">
      <alignment horizontal="right" vertical="bottom"/>
    </xf>
    <xf borderId="0" fillId="86" fontId="4" numFmtId="0" xfId="0" applyAlignment="1" applyFont="1">
      <alignment horizontal="right" vertical="bottom"/>
    </xf>
    <xf borderId="6" fillId="174" fontId="5" numFmtId="0" xfId="0" applyAlignment="1" applyBorder="1" applyFill="1" applyFont="1">
      <alignment horizontal="right" vertical="bottom"/>
    </xf>
    <xf borderId="5" fillId="79" fontId="4" numFmtId="0" xfId="0" applyAlignment="1" applyBorder="1" applyFont="1">
      <alignment horizontal="right" vertical="bottom"/>
    </xf>
    <xf borderId="0" fillId="110" fontId="4" numFmtId="0" xfId="0" applyAlignment="1" applyFont="1">
      <alignment horizontal="right" vertical="bottom"/>
    </xf>
    <xf borderId="0" fillId="175" fontId="4" numFmtId="0" xfId="0" applyAlignment="1" applyFill="1" applyFont="1">
      <alignment horizontal="right" vertical="bottom"/>
    </xf>
    <xf borderId="0" fillId="176" fontId="4" numFmtId="0" xfId="0" applyAlignment="1" applyFill="1" applyFont="1">
      <alignment horizontal="right" vertical="bottom"/>
    </xf>
    <xf borderId="6" fillId="76" fontId="4" numFmtId="0" xfId="0" applyAlignment="1" applyBorder="1" applyFont="1">
      <alignment horizontal="right" vertical="bottom"/>
    </xf>
    <xf borderId="6" fillId="20" fontId="4" numFmtId="0" xfId="0" applyAlignment="1" applyBorder="1" applyFont="1">
      <alignment horizontal="right" vertical="bottom"/>
    </xf>
    <xf borderId="5" fillId="177" fontId="4" numFmtId="0" xfId="0" applyAlignment="1" applyBorder="1" applyFill="1" applyFont="1">
      <alignment horizontal="right" vertical="bottom"/>
    </xf>
    <xf borderId="0" fillId="117" fontId="4" numFmtId="0" xfId="0" applyAlignment="1" applyFont="1">
      <alignment horizontal="right" vertical="bottom"/>
    </xf>
    <xf borderId="5" fillId="17" fontId="4" numFmtId="0" xfId="0" applyAlignment="1" applyBorder="1" applyFont="1">
      <alignment horizontal="right" vertical="bottom"/>
    </xf>
    <xf borderId="0" fillId="109" fontId="4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178" fontId="4" numFmtId="0" xfId="0" applyAlignment="1" applyFill="1" applyFont="1">
      <alignment horizontal="right" vertical="bottom"/>
    </xf>
    <xf borderId="8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7" fillId="0" fontId="4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readingOrder="0" vertical="bottom"/>
    </xf>
    <xf borderId="8" fillId="0" fontId="4" numFmtId="0" xfId="0" applyAlignment="1" applyBorder="1" applyFont="1">
      <alignment horizontal="left" vertical="bottom"/>
    </xf>
    <xf borderId="7" fillId="63" fontId="4" numFmtId="0" xfId="0" applyAlignment="1" applyBorder="1" applyFont="1">
      <alignment horizontal="right" vertical="bottom"/>
    </xf>
    <xf borderId="9" fillId="135" fontId="4" numFmtId="0" xfId="0" applyAlignment="1" applyBorder="1" applyFont="1">
      <alignment horizontal="right" vertical="bottom"/>
    </xf>
    <xf borderId="9" fillId="78" fontId="4" numFmtId="0" xfId="0" applyAlignment="1" applyBorder="1" applyFont="1">
      <alignment horizontal="right" vertical="bottom"/>
    </xf>
    <xf borderId="9" fillId="140" fontId="4" numFmtId="0" xfId="0" applyAlignment="1" applyBorder="1" applyFont="1">
      <alignment horizontal="right" vertical="bottom"/>
    </xf>
    <xf borderId="8" fillId="15" fontId="4" numFmtId="0" xfId="0" applyAlignment="1" applyBorder="1" applyFont="1">
      <alignment horizontal="right" vertical="bottom"/>
    </xf>
    <xf borderId="7" fillId="12" fontId="4" numFmtId="0" xfId="0" applyAlignment="1" applyBorder="1" applyFont="1">
      <alignment horizontal="right" vertical="bottom"/>
    </xf>
    <xf borderId="9" fillId="87" fontId="4" numFmtId="0" xfId="0" applyAlignment="1" applyBorder="1" applyFont="1">
      <alignment horizontal="right" vertical="bottom"/>
    </xf>
    <xf borderId="8" fillId="37" fontId="4" numFmtId="0" xfId="0" applyAlignment="1" applyBorder="1" applyFont="1">
      <alignment horizontal="right" vertical="bottom"/>
    </xf>
    <xf borderId="9" fillId="179" fontId="4" numFmtId="0" xfId="0" applyAlignment="1" applyBorder="1" applyFill="1" applyFont="1">
      <alignment horizontal="right" vertical="bottom"/>
    </xf>
    <xf borderId="8" fillId="167" fontId="4" numFmtId="0" xfId="0" applyAlignment="1" applyBorder="1" applyFont="1">
      <alignment horizontal="right" vertical="bottom"/>
    </xf>
    <xf borderId="7" fillId="80" fontId="4" numFmtId="0" xfId="0" applyAlignment="1" applyBorder="1" applyFont="1">
      <alignment horizontal="right" vertical="bottom"/>
    </xf>
    <xf borderId="0" fillId="180" fontId="4" numFmtId="0" xfId="0" applyAlignment="1" applyFill="1" applyFont="1">
      <alignment horizontal="right" vertical="bottom"/>
    </xf>
    <xf borderId="6" fillId="181" fontId="4" numFmtId="0" xfId="0" applyAlignment="1" applyBorder="1" applyFill="1" applyFont="1">
      <alignment horizontal="right" vertical="bottom"/>
    </xf>
    <xf borderId="7" fillId="43" fontId="4" numFmtId="0" xfId="0" applyAlignment="1" applyBorder="1" applyFont="1">
      <alignment horizontal="right" vertical="bottom"/>
    </xf>
    <xf borderId="9" fillId="8" fontId="4" numFmtId="0" xfId="0" applyAlignment="1" applyBorder="1" applyFont="1">
      <alignment horizontal="right" vertical="bottom"/>
    </xf>
    <xf borderId="9" fillId="3" fontId="4" numFmtId="0" xfId="0" applyAlignment="1" applyBorder="1" applyFont="1">
      <alignment horizontal="right" vertical="bottom"/>
    </xf>
    <xf borderId="9" fillId="11" fontId="4" numFmtId="0" xfId="0" applyAlignment="1" applyBorder="1" applyFont="1">
      <alignment horizontal="right" vertical="bottom"/>
    </xf>
    <xf borderId="9" fillId="47" fontId="4" numFmtId="0" xfId="0" applyAlignment="1" applyBorder="1" applyFont="1">
      <alignment horizontal="right" vertical="bottom"/>
    </xf>
    <xf borderId="9" fillId="33" fontId="4" numFmtId="0" xfId="0" applyAlignment="1" applyBorder="1" applyFont="1">
      <alignment horizontal="right" vertical="bottom"/>
    </xf>
    <xf borderId="8" fillId="182" fontId="4" numFmtId="0" xfId="0" applyAlignment="1" applyBorder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183" fontId="4" numFmtId="0" xfId="0" applyAlignment="1" applyFill="1" applyFont="1">
      <alignment horizontal="right" vertical="bottom"/>
    </xf>
    <xf borderId="0" fillId="184" fontId="4" numFmtId="0" xfId="0" applyAlignment="1" applyFill="1" applyFont="1">
      <alignment horizontal="right" vertical="bottom"/>
    </xf>
    <xf borderId="6" fillId="51" fontId="4" numFmtId="0" xfId="0" applyAlignment="1" applyBorder="1" applyFont="1">
      <alignment horizontal="right" vertical="bottom"/>
    </xf>
    <xf borderId="5" fillId="108" fontId="4" numFmtId="0" xfId="0" applyAlignment="1" applyBorder="1" applyFont="1">
      <alignment horizontal="right" vertical="bottom"/>
    </xf>
    <xf borderId="0" fillId="185" fontId="4" numFmtId="0" xfId="0" applyAlignment="1" applyFill="1" applyFont="1">
      <alignment horizontal="right" vertical="bottom"/>
    </xf>
    <xf borderId="6" fillId="179" fontId="4" numFmtId="0" xfId="0" applyAlignment="1" applyBorder="1" applyFont="1">
      <alignment horizontal="right" vertical="bottom"/>
    </xf>
    <xf borderId="6" fillId="47" fontId="4" numFmtId="0" xfId="0" applyAlignment="1" applyBorder="1" applyFont="1">
      <alignment horizontal="right" vertical="bottom"/>
    </xf>
    <xf borderId="5" fillId="66" fontId="4" numFmtId="0" xfId="0" applyAlignment="1" applyBorder="1" applyFont="1">
      <alignment vertical="bottom"/>
    </xf>
    <xf borderId="0" fillId="37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6" fillId="37" fontId="4" numFmtId="0" xfId="0" applyAlignment="1" applyBorder="1" applyFont="1">
      <alignment vertical="bottom"/>
    </xf>
    <xf borderId="5" fillId="67" fontId="4" numFmtId="0" xfId="0" applyAlignment="1" applyBorder="1" applyFont="1">
      <alignment vertical="bottom"/>
    </xf>
    <xf borderId="0" fillId="58" fontId="4" numFmtId="0" xfId="0" applyAlignment="1" applyFont="1">
      <alignment vertical="bottom"/>
    </xf>
    <xf borderId="6" fillId="22" fontId="4" numFmtId="0" xfId="0" applyAlignment="1" applyBorder="1" applyFont="1">
      <alignment vertical="bottom"/>
    </xf>
    <xf borderId="0" fillId="136" fontId="4" numFmtId="0" xfId="0" applyAlignment="1" applyFont="1">
      <alignment vertical="bottom"/>
    </xf>
    <xf borderId="6" fillId="4" fontId="4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0" fillId="145" fontId="4" numFmtId="0" xfId="0" applyAlignment="1" applyFont="1">
      <alignment vertical="bottom"/>
    </xf>
    <xf borderId="0" fillId="104" fontId="4" numFmtId="0" xfId="0" applyAlignment="1" applyFont="1">
      <alignment vertical="bottom"/>
    </xf>
    <xf borderId="0" fillId="82" fontId="4" numFmtId="0" xfId="0" applyAlignment="1" applyFont="1">
      <alignment vertical="bottom"/>
    </xf>
    <xf borderId="6" fillId="146" fontId="4" numFmtId="0" xfId="0" applyAlignment="1" applyBorder="1" applyFont="1">
      <alignment vertical="bottom"/>
    </xf>
    <xf borderId="5" fillId="43" fontId="4" numFmtId="0" xfId="0" applyAlignment="1" applyBorder="1" applyFont="1">
      <alignment vertical="bottom"/>
    </xf>
    <xf borderId="0" fillId="43" fontId="4" numFmtId="0" xfId="0" applyAlignment="1" applyFont="1">
      <alignment vertical="bottom"/>
    </xf>
    <xf borderId="0" fillId="10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147" fontId="4" numFmtId="0" xfId="0" applyAlignment="1" applyFont="1">
      <alignment vertical="bottom"/>
    </xf>
    <xf borderId="6" fillId="148" fontId="4" numFmtId="0" xfId="0" applyAlignment="1" applyBorder="1" applyFont="1">
      <alignment vertical="bottom"/>
    </xf>
    <xf borderId="5" fillId="186" fontId="5" numFmtId="0" xfId="0" applyAlignment="1" applyBorder="1" applyFill="1" applyFont="1">
      <alignment horizontal="right" vertical="bottom"/>
    </xf>
    <xf borderId="0" fillId="187" fontId="4" numFmtId="0" xfId="0" applyAlignment="1" applyFill="1" applyFont="1">
      <alignment horizontal="right" vertical="bottom"/>
    </xf>
    <xf borderId="0" fillId="188" fontId="4" numFmtId="0" xfId="0" applyAlignment="1" applyFill="1" applyFont="1">
      <alignment horizontal="right" vertical="bottom"/>
    </xf>
    <xf borderId="6" fillId="189" fontId="4" numFmtId="0" xfId="0" applyAlignment="1" applyBorder="1" applyFill="1" applyFont="1">
      <alignment horizontal="right" vertical="bottom"/>
    </xf>
    <xf borderId="5" fillId="190" fontId="4" numFmtId="0" xfId="0" applyAlignment="1" applyBorder="1" applyFill="1" applyFont="1">
      <alignment horizontal="right" vertical="bottom"/>
    </xf>
    <xf borderId="0" fillId="190" fontId="4" numFmtId="0" xfId="0" applyAlignment="1" applyFont="1">
      <alignment horizontal="right" vertical="bottom"/>
    </xf>
    <xf borderId="6" fillId="190" fontId="4" numFmtId="0" xfId="0" applyAlignment="1" applyBorder="1" applyFont="1">
      <alignment horizontal="right" vertical="bottom"/>
    </xf>
    <xf borderId="5" fillId="187" fontId="4" numFmtId="0" xfId="0" applyAlignment="1" applyBorder="1" applyFont="1">
      <alignment horizontal="right" vertical="bottom"/>
    </xf>
    <xf borderId="0" fillId="50" fontId="4" numFmtId="0" xfId="0" applyAlignment="1" applyFont="1">
      <alignment horizontal="right" vertical="bottom"/>
    </xf>
    <xf borderId="0" fillId="191" fontId="4" numFmtId="0" xfId="0" applyAlignment="1" applyFill="1" applyFont="1">
      <alignment horizontal="right" vertical="bottom"/>
    </xf>
    <xf borderId="0" fillId="192" fontId="5" numFmtId="0" xfId="0" applyAlignment="1" applyFill="1" applyFont="1">
      <alignment horizontal="right" vertical="bottom"/>
    </xf>
    <xf borderId="6" fillId="186" fontId="4" numFmtId="0" xfId="0" applyAlignment="1" applyBorder="1" applyFont="1">
      <alignment horizontal="right" vertical="bottom"/>
    </xf>
    <xf borderId="5" fillId="193" fontId="4" numFmtId="0" xfId="0" applyAlignment="1" applyBorder="1" applyFill="1" applyFont="1">
      <alignment horizontal="right" vertical="bottom"/>
    </xf>
    <xf borderId="0" fillId="193" fontId="4" numFmtId="0" xfId="0" applyAlignment="1" applyFont="1">
      <alignment horizontal="right" vertical="bottom"/>
    </xf>
    <xf borderId="6" fillId="194" fontId="4" numFmtId="0" xfId="0" applyAlignment="1" applyBorder="1" applyFill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69" fontId="4" numFmtId="0" xfId="0" applyAlignment="1" applyBorder="1" applyFont="1">
      <alignment horizontal="right" vertical="bottom"/>
    </xf>
    <xf borderId="0" fillId="42" fontId="4" numFmtId="0" xfId="0" applyAlignment="1" applyFont="1">
      <alignment horizontal="right" vertical="bottom"/>
    </xf>
    <xf borderId="0" fillId="36" fontId="4" numFmtId="0" xfId="0" applyAlignment="1" applyFont="1">
      <alignment horizontal="right" vertical="bottom"/>
    </xf>
    <xf borderId="0" fillId="182" fontId="4" numFmtId="0" xfId="0" applyAlignment="1" applyFont="1">
      <alignment horizontal="right" vertical="bottom"/>
    </xf>
    <xf borderId="6" fillId="48" fontId="4" numFmtId="0" xfId="0" applyAlignment="1" applyBorder="1" applyFont="1">
      <alignment horizontal="right" vertical="bottom"/>
    </xf>
    <xf borderId="5" fillId="190" fontId="4" numFmtId="0" xfId="0" applyAlignment="1" applyBorder="1" applyFont="1">
      <alignment horizontal="right" vertical="bottom"/>
    </xf>
    <xf borderId="5" fillId="182" fontId="4" numFmtId="0" xfId="0" applyAlignment="1" applyBorder="1" applyFont="1">
      <alignment horizontal="right" vertical="bottom"/>
    </xf>
    <xf borderId="5" fillId="38" fontId="4" numFmtId="0" xfId="0" applyAlignment="1" applyBorder="1" applyFont="1">
      <alignment horizontal="right" vertical="bottom"/>
    </xf>
    <xf borderId="6" fillId="151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left" vertical="bottom"/>
    </xf>
    <xf borderId="3" fillId="0" fontId="3" numFmtId="0" xfId="0" applyAlignment="1" applyBorder="1" applyFont="1">
      <alignment readingOrder="0" vertical="bottom"/>
    </xf>
    <xf borderId="5" fillId="95" fontId="4" numFmtId="0" xfId="0" applyAlignment="1" applyBorder="1" applyFont="1">
      <alignment horizontal="right" vertical="bottom"/>
    </xf>
    <xf borderId="5" fillId="136" fontId="4" numFmtId="0" xfId="0" applyAlignment="1" applyBorder="1" applyFont="1">
      <alignment horizontal="right" vertical="bottom"/>
    </xf>
    <xf borderId="6" fillId="108" fontId="4" numFmtId="0" xfId="0" applyAlignment="1" applyBorder="1" applyFont="1">
      <alignment horizontal="right" vertical="bottom"/>
    </xf>
    <xf borderId="6" fillId="107" fontId="4" numFmtId="0" xfId="0" applyAlignment="1" applyBorder="1" applyFont="1">
      <alignment horizontal="right" vertical="bottom"/>
    </xf>
    <xf borderId="5" fillId="29" fontId="4" numFmtId="0" xfId="0" applyAlignment="1" applyBorder="1" applyFont="1">
      <alignment horizontal="right" vertical="bottom"/>
    </xf>
    <xf borderId="6" fillId="85" fontId="4" numFmtId="0" xfId="0" applyAlignment="1" applyBorder="1" applyFont="1">
      <alignment horizontal="right" vertical="bottom"/>
    </xf>
    <xf borderId="0" fillId="115" fontId="4" numFmtId="0" xfId="0" applyAlignment="1" applyFont="1">
      <alignment horizontal="right" vertical="bottom"/>
    </xf>
    <xf borderId="6" fillId="16" fontId="4" numFmtId="0" xfId="0" applyAlignment="1" applyBorder="1" applyFont="1">
      <alignment horizontal="right" vertical="bottom"/>
    </xf>
    <xf borderId="5" fillId="116" fontId="4" numFmtId="0" xfId="0" applyAlignment="1" applyBorder="1" applyFont="1">
      <alignment horizontal="right" vertical="bottom"/>
    </xf>
    <xf borderId="6" fillId="38" fontId="4" numFmtId="0" xfId="0" applyAlignment="1" applyBorder="1" applyFont="1">
      <alignment horizontal="right" vertical="bottom"/>
    </xf>
    <xf borderId="5" fillId="117" fontId="4" numFmtId="0" xfId="0" applyAlignment="1" applyBorder="1" applyFont="1">
      <alignment horizontal="right" vertical="bottom"/>
    </xf>
    <xf borderId="0" fillId="118" fontId="4" numFmtId="0" xfId="0" applyAlignment="1" applyFont="1">
      <alignment horizontal="right" vertical="bottom"/>
    </xf>
    <xf borderId="6" fillId="119" fontId="4" numFmtId="0" xfId="0" applyAlignment="1" applyBorder="1" applyFont="1">
      <alignment horizontal="right" vertical="bottom"/>
    </xf>
    <xf borderId="0" fillId="195" fontId="3" numFmtId="0" xfId="0" applyAlignment="1" applyFill="1" applyFont="1">
      <alignment vertical="bottom"/>
    </xf>
    <xf borderId="0" fillId="195" fontId="3" numFmtId="0" xfId="0" applyAlignment="1" applyFont="1">
      <alignment vertical="bottom"/>
    </xf>
    <xf borderId="0" fillId="195" fontId="4" numFmtId="0" xfId="0" applyAlignment="1" applyFont="1">
      <alignment vertical="bottom"/>
    </xf>
    <xf borderId="0" fillId="195" fontId="4" numFmtId="0" xfId="0" applyAlignment="1" applyFont="1">
      <alignment vertical="bottom"/>
    </xf>
    <xf borderId="2" fillId="195" fontId="4" numFmtId="0" xfId="0" applyAlignment="1" applyBorder="1" applyFont="1">
      <alignment vertical="bottom"/>
    </xf>
    <xf borderId="3" fillId="195" fontId="4" numFmtId="0" xfId="0" applyAlignment="1" applyBorder="1" applyFont="1">
      <alignment vertical="bottom"/>
    </xf>
    <xf borderId="4" fillId="195" fontId="4" numFmtId="0" xfId="0" applyAlignment="1" applyBorder="1" applyFont="1">
      <alignment vertical="bottom"/>
    </xf>
    <xf borderId="5" fillId="195" fontId="4" numFmtId="0" xfId="0" applyAlignment="1" applyBorder="1" applyFont="1">
      <alignment vertical="bottom"/>
    </xf>
    <xf borderId="6" fillId="195" fontId="4" numFmtId="0" xfId="0" applyAlignment="1" applyBorder="1" applyFont="1">
      <alignment vertical="bottom"/>
    </xf>
    <xf borderId="6" fillId="4" fontId="4" numFmtId="0" xfId="0" applyAlignment="1" applyBorder="1" applyFont="1">
      <alignment horizontal="right" vertical="bottom"/>
    </xf>
    <xf borderId="6" fillId="10" fontId="4" numFmtId="0" xfId="0" applyAlignment="1" applyBorder="1" applyFont="1">
      <alignment horizontal="right" vertical="bottom"/>
    </xf>
    <xf borderId="6" fillId="157" fontId="4" numFmtId="0" xfId="0" applyAlignment="1" applyBorder="1" applyFont="1">
      <alignment horizontal="right" vertical="bottom"/>
    </xf>
    <xf borderId="0" fillId="105" fontId="4" numFmtId="0" xfId="0" applyAlignment="1" applyFont="1">
      <alignment horizontal="right" vertical="bottom"/>
    </xf>
    <xf borderId="6" fillId="196" fontId="4" numFmtId="0" xfId="0" applyAlignment="1" applyBorder="1" applyFill="1" applyFont="1">
      <alignment horizontal="right" vertical="bottom"/>
    </xf>
    <xf borderId="0" fillId="189" fontId="4" numFmtId="0" xfId="0" applyAlignment="1" applyFont="1">
      <alignment horizontal="right" vertical="bottom"/>
    </xf>
    <xf borderId="6" fillId="197" fontId="5" numFmtId="0" xfId="0" applyAlignment="1" applyBorder="1" applyFill="1" applyFont="1">
      <alignment horizontal="right" vertical="bottom"/>
    </xf>
    <xf borderId="6" fillId="36" fontId="4" numFmtId="0" xfId="0" applyAlignment="1" applyBorder="1" applyFont="1">
      <alignment horizontal="right" vertical="bottom"/>
    </xf>
    <xf borderId="6" fillId="87" fontId="4" numFmtId="0" xfId="0" applyAlignment="1" applyBorder="1" applyFont="1">
      <alignment horizontal="right" vertical="bottom"/>
    </xf>
    <xf borderId="6" fillId="156" fontId="4" numFmtId="0" xfId="0" applyAlignment="1" applyBorder="1" applyFont="1">
      <alignment horizontal="right" vertical="bottom"/>
    </xf>
    <xf borderId="5" fillId="198" fontId="4" numFmtId="0" xfId="0" applyAlignment="1" applyBorder="1" applyFill="1" applyFont="1">
      <alignment horizontal="right" vertical="bottom"/>
    </xf>
    <xf borderId="0" fillId="177" fontId="4" numFmtId="0" xfId="0" applyAlignment="1" applyFont="1">
      <alignment horizontal="right" vertical="bottom"/>
    </xf>
    <xf borderId="5" fillId="81" fontId="4" numFmtId="0" xfId="0" applyAlignment="1" applyBorder="1" applyFont="1">
      <alignment horizontal="right" vertical="bottom"/>
    </xf>
    <xf borderId="5" fillId="199" fontId="4" numFmtId="0" xfId="0" applyAlignment="1" applyBorder="1" applyFill="1" applyFont="1">
      <alignment horizontal="right" vertical="bottom"/>
    </xf>
    <xf borderId="6" fillId="104" fontId="4" numFmtId="0" xfId="0" applyAlignment="1" applyBorder="1" applyFont="1">
      <alignment horizontal="right" vertical="bottom"/>
    </xf>
    <xf borderId="5" fillId="200" fontId="4" numFmtId="0" xfId="0" applyAlignment="1" applyBorder="1" applyFill="1" applyFont="1">
      <alignment horizontal="right" vertical="bottom"/>
    </xf>
    <xf borderId="0" fillId="201" fontId="4" numFmtId="0" xfId="0" applyAlignment="1" applyFill="1" applyFont="1">
      <alignment horizontal="right" vertical="bottom"/>
    </xf>
    <xf borderId="3" fillId="0" fontId="1" numFmtId="0" xfId="0" applyAlignment="1" applyBorder="1" applyFont="1">
      <alignment horizontal="left" readingOrder="0"/>
    </xf>
    <xf borderId="6" fillId="101" fontId="4" numFmtId="0" xfId="0" applyAlignment="1" applyBorder="1" applyFont="1">
      <alignment horizontal="right" vertical="bottom"/>
    </xf>
    <xf borderId="5" fillId="202" fontId="4" numFmtId="0" xfId="0" applyAlignment="1" applyBorder="1" applyFill="1" applyFont="1">
      <alignment horizontal="right" vertical="bottom"/>
    </xf>
    <xf borderId="0" fillId="203" fontId="4" numFmtId="0" xfId="0" applyAlignment="1" applyFill="1" applyFont="1">
      <alignment horizontal="right" vertical="bottom"/>
    </xf>
    <xf borderId="6" fillId="78" fontId="4" numFmtId="0" xfId="0" applyAlignment="1" applyBorder="1" applyFont="1">
      <alignment horizontal="right" vertical="bottom"/>
    </xf>
    <xf borderId="6" fillId="81" fontId="4" numFmtId="0" xfId="0" applyAlignment="1" applyBorder="1" applyFont="1">
      <alignment horizontal="right" vertical="bottom"/>
    </xf>
    <xf borderId="0" fillId="83" fontId="4" numFmtId="0" xfId="0" applyAlignment="1" applyFont="1">
      <alignment horizontal="right" vertical="bottom"/>
    </xf>
    <xf borderId="5" fillId="103" fontId="4" numFmtId="0" xfId="0" applyAlignment="1" applyBorder="1" applyFont="1">
      <alignment horizontal="right" vertical="bottom"/>
    </xf>
    <xf borderId="0" fillId="204" fontId="4" numFmtId="0" xfId="0" applyAlignment="1" applyFill="1" applyFont="1">
      <alignment horizontal="right" vertical="bottom"/>
    </xf>
    <xf borderId="5" fillId="52" fontId="4" numFmtId="0" xfId="0" applyAlignment="1" applyBorder="1" applyFont="1">
      <alignment horizontal="right" vertical="bottom"/>
    </xf>
    <xf borderId="0" fillId="205" fontId="4" numFmtId="0" xfId="0" applyAlignment="1" applyFill="1" applyFont="1">
      <alignment horizontal="right" vertical="bottom"/>
    </xf>
    <xf borderId="6" fillId="154" fontId="4" numFmtId="0" xfId="0" applyAlignment="1" applyBorder="1" applyFont="1">
      <alignment horizontal="right" vertical="bottom"/>
    </xf>
    <xf borderId="6" fillId="201" fontId="4" numFmtId="0" xfId="0" applyAlignment="1" applyBorder="1" applyFont="1">
      <alignment horizontal="right" vertical="bottom"/>
    </xf>
    <xf borderId="5" fillId="140" fontId="4" numFmtId="0" xfId="0" applyAlignment="1" applyBorder="1" applyFont="1">
      <alignment horizontal="right" vertical="bottom"/>
    </xf>
    <xf borderId="0" fillId="206" fontId="4" numFmtId="0" xfId="0" applyAlignment="1" applyFill="1" applyFont="1">
      <alignment horizontal="right" vertical="bottom"/>
    </xf>
    <xf borderId="6" fillId="32" fontId="4" numFmtId="0" xfId="0" applyAlignment="1" applyBorder="1" applyFont="1">
      <alignment horizontal="right" vertical="bottom"/>
    </xf>
    <xf borderId="6" fillId="23" fontId="4" numFmtId="0" xfId="0" applyAlignment="1" applyBorder="1" applyFont="1">
      <alignment horizontal="right" vertical="bottom"/>
    </xf>
    <xf borderId="5" fillId="16" fontId="4" numFmtId="0" xfId="0" applyAlignment="1" applyBorder="1" applyFont="1">
      <alignment horizontal="right" vertical="bottom"/>
    </xf>
    <xf borderId="0" fillId="179" fontId="4" numFmtId="0" xfId="0" applyAlignment="1" applyFont="1">
      <alignment horizontal="right" vertical="bottom"/>
    </xf>
    <xf borderId="6" fillId="127" fontId="4" numFmtId="0" xfId="0" applyAlignment="1" applyBorder="1" applyFont="1">
      <alignment horizontal="right" vertical="bottom"/>
    </xf>
    <xf borderId="6" fillId="89" fontId="4" numFmtId="0" xfId="0" applyAlignment="1" applyBorder="1" applyFont="1">
      <alignment horizontal="right" vertical="bottom"/>
    </xf>
    <xf borderId="9" fillId="70" fontId="4" numFmtId="0" xfId="0" applyAlignment="1" applyBorder="1" applyFont="1">
      <alignment horizontal="right" vertical="bottom"/>
    </xf>
    <xf borderId="8" fillId="108" fontId="4" numFmtId="0" xfId="0" applyAlignment="1" applyBorder="1" applyFont="1">
      <alignment horizontal="right" vertical="bottom"/>
    </xf>
    <xf borderId="7" fillId="176" fontId="4" numFmtId="0" xfId="0" applyAlignment="1" applyBorder="1" applyFont="1">
      <alignment horizontal="right" vertical="bottom"/>
    </xf>
    <xf borderId="9" fillId="207" fontId="4" numFmtId="0" xfId="0" applyAlignment="1" applyBorder="1" applyFill="1" applyFont="1">
      <alignment horizontal="right" vertical="bottom"/>
    </xf>
    <xf borderId="8" fillId="140" fontId="4" numFmtId="0" xfId="0" applyAlignment="1" applyBorder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3" fillId="0" fontId="6" numFmtId="0" xfId="0" applyBorder="1" applyFont="1"/>
    <xf borderId="3" fillId="0" fontId="1" numFmtId="0" xfId="0" applyAlignment="1" applyBorder="1" applyFont="1">
      <alignment readingOrder="0"/>
    </xf>
    <xf borderId="4" fillId="0" fontId="6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3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3" fillId="0" fontId="7" numFmtId="0" xfId="0" applyAlignment="1" applyBorder="1" applyFont="1">
      <alignment vertical="bottom"/>
    </xf>
    <xf borderId="2" fillId="2" fontId="4" numFmtId="0" xfId="0" applyAlignment="1" applyBorder="1" applyFont="1">
      <alignment horizontal="left"/>
    </xf>
    <xf borderId="3" fillId="2" fontId="4" numFmtId="0" xfId="0" applyAlignment="1" applyBorder="1" applyFont="1">
      <alignment horizontal="left"/>
    </xf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left"/>
    </xf>
    <xf borderId="4" fillId="2" fontId="4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readingOrder="0"/>
    </xf>
    <xf borderId="3" fillId="2" fontId="1" numFmtId="0" xfId="0" applyAlignment="1" applyBorder="1" applyFont="1">
      <alignment horizontal="left" readingOrder="0"/>
    </xf>
    <xf borderId="0" fillId="2" fontId="7" numFmtId="0" xfId="0" applyAlignment="1" applyFont="1">
      <alignment horizontal="left" vertical="bottom"/>
    </xf>
    <xf borderId="3" fillId="2" fontId="7" numFmtId="0" xfId="0" applyAlignment="1" applyBorder="1" applyFont="1">
      <alignment horizontal="left" vertical="bottom"/>
    </xf>
    <xf borderId="0" fillId="0" fontId="7" numFmtId="0" xfId="0" applyAlignment="1" applyFont="1">
      <alignment horizontal="left" vertical="bottom"/>
    </xf>
    <xf borderId="3" fillId="0" fontId="7" numFmtId="0" xfId="0" applyAlignment="1" applyBorder="1" applyFont="1">
      <alignment horizontal="left" vertical="bottom"/>
    </xf>
    <xf borderId="4" fillId="2" fontId="7" numFmtId="0" xfId="0" applyAlignment="1" applyBorder="1" applyFont="1">
      <alignment horizontal="left" vertical="bottom"/>
    </xf>
    <xf borderId="5" fillId="0" fontId="6" numFmtId="0" xfId="0" applyBorder="1" applyFont="1"/>
    <xf borderId="11" fillId="0" fontId="1" numFmtId="0" xfId="0" applyAlignment="1" applyBorder="1" applyFont="1">
      <alignment readingOrder="0"/>
    </xf>
    <xf borderId="0" fillId="208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5" fillId="2" fontId="1" numFmtId="0" xfId="0" applyAlignment="1" applyBorder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7" numFmtId="0" xfId="0" applyAlignment="1" applyFont="1">
      <alignment vertical="bottom"/>
    </xf>
    <xf borderId="0" fillId="2" fontId="9" numFmtId="0" xfId="0" applyAlignment="1" applyFont="1">
      <alignment horizontal="left" readingOrder="0"/>
    </xf>
    <xf borderId="6" fillId="2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0" fillId="2" fontId="4" numFmtId="0" xfId="0" applyAlignment="1" applyFont="1">
      <alignment horizontal="left"/>
    </xf>
    <xf borderId="6" fillId="2" fontId="4" numFmtId="0" xfId="0" applyAlignment="1" applyBorder="1" applyFont="1">
      <alignment horizontal="left"/>
    </xf>
    <xf borderId="0" fillId="2" fontId="7" numFmtId="0" xfId="0" applyAlignment="1" applyFont="1">
      <alignment horizontal="left" readingOrder="0" vertical="bottom"/>
    </xf>
    <xf borderId="6" fillId="2" fontId="7" numFmtId="0" xfId="0" applyAlignment="1" applyBorder="1" applyFont="1">
      <alignment horizontal="left" vertical="bottom"/>
    </xf>
    <xf borderId="0" fillId="0" fontId="1" numFmtId="0" xfId="0" applyAlignment="1" applyFont="1">
      <alignment horizontal="left" readingOrder="0"/>
    </xf>
    <xf borderId="0" fillId="209" fontId="7" numFmtId="0" xfId="0" applyAlignment="1" applyFill="1" applyFont="1">
      <alignment vertical="bottom"/>
    </xf>
    <xf borderId="6" fillId="2" fontId="1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left" vertical="bottom"/>
    </xf>
    <xf borderId="0" fillId="2" fontId="10" numFmtId="0" xfId="0" applyAlignment="1" applyFont="1">
      <alignment horizontal="left" vertical="bottom"/>
    </xf>
    <xf borderId="0" fillId="2" fontId="3" numFmtId="0" xfId="0" applyAlignment="1" applyFont="1">
      <alignment horizontal="left"/>
    </xf>
    <xf borderId="6" fillId="2" fontId="3" numFmtId="0" xfId="0" applyAlignment="1" applyBorder="1" applyFont="1">
      <alignment horizontal="left"/>
    </xf>
    <xf borderId="0" fillId="0" fontId="10" numFmtId="0" xfId="0" applyAlignment="1" applyFont="1">
      <alignment horizontal="left" vertical="bottom"/>
    </xf>
    <xf borderId="6" fillId="2" fontId="10" numFmtId="0" xfId="0" applyAlignment="1" applyBorder="1" applyFont="1">
      <alignment horizontal="left" vertical="bottom"/>
    </xf>
    <xf borderId="6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5" fillId="0" fontId="4" numFmtId="0" xfId="0" applyAlignment="1" applyBorder="1" applyFont="1">
      <alignment horizontal="left"/>
    </xf>
    <xf borderId="0" fillId="2" fontId="2" numFmtId="0" xfId="0" applyAlignment="1" applyFont="1">
      <alignment horizontal="left" readingOrder="0"/>
    </xf>
    <xf borderId="6" fillId="0" fontId="4" numFmtId="0" xfId="0" applyAlignment="1" applyBorder="1" applyFont="1">
      <alignment horizontal="left"/>
    </xf>
    <xf borderId="0" fillId="2" fontId="10" numFmtId="0" xfId="0" applyAlignment="1" applyFont="1">
      <alignment horizontal="left" readingOrder="0" vertical="bottom"/>
    </xf>
    <xf borderId="0" fillId="2" fontId="7" numFmtId="0" xfId="0" applyAlignment="1" applyFont="1">
      <alignment horizontal="left" vertical="bottom"/>
    </xf>
    <xf borderId="11" fillId="2" fontId="1" numFmtId="0" xfId="0" applyAlignment="1" applyBorder="1" applyFont="1">
      <alignment readingOrder="0"/>
    </xf>
    <xf borderId="5" fillId="210" fontId="10" numFmtId="0" xfId="0" applyAlignment="1" applyBorder="1" applyFill="1" applyFont="1">
      <alignment horizontal="left" vertical="bottom"/>
    </xf>
    <xf borderId="0" fillId="211" fontId="7" numFmtId="0" xfId="0" applyAlignment="1" applyFill="1" applyFont="1">
      <alignment horizontal="left" vertical="bottom"/>
    </xf>
    <xf borderId="0" fillId="212" fontId="7" numFmtId="0" xfId="0" applyAlignment="1" applyFill="1" applyFont="1">
      <alignment horizontal="left" vertical="bottom"/>
    </xf>
    <xf borderId="0" fillId="213" fontId="7" numFmtId="0" xfId="0" applyAlignment="1" applyFill="1" applyFont="1">
      <alignment horizontal="left" vertical="bottom"/>
    </xf>
    <xf borderId="0" fillId="214" fontId="7" numFmtId="0" xfId="0" applyAlignment="1" applyFill="1" applyFont="1">
      <alignment horizontal="left" vertical="bottom"/>
    </xf>
    <xf borderId="0" fillId="0" fontId="7" numFmtId="0" xfId="0" applyAlignment="1" applyFont="1">
      <alignment readingOrder="0" vertical="bottom"/>
    </xf>
    <xf borderId="5" fillId="208" fontId="7" numFmtId="0" xfId="0" applyAlignment="1" applyBorder="1" applyFont="1">
      <alignment horizontal="left" vertical="bottom"/>
    </xf>
    <xf borderId="0" fillId="215" fontId="7" numFmtId="0" xfId="0" applyAlignment="1" applyFill="1" applyFont="1">
      <alignment horizontal="left" vertical="bottom"/>
    </xf>
    <xf borderId="0" fillId="216" fontId="7" numFmtId="0" xfId="0" applyAlignment="1" applyFill="1" applyFont="1">
      <alignment horizontal="left" vertical="bottom"/>
    </xf>
    <xf borderId="0" fillId="217" fontId="7" numFmtId="0" xfId="0" applyAlignment="1" applyFill="1" applyFont="1">
      <alignment horizontal="left" vertical="bottom"/>
    </xf>
    <xf borderId="0" fillId="2" fontId="7" numFmtId="0" xfId="0" applyAlignment="1" applyFont="1">
      <alignment horizontal="left" vertical="bottom"/>
    </xf>
    <xf borderId="6" fillId="2" fontId="7" numFmtId="0" xfId="0" applyAlignment="1" applyBorder="1" applyFont="1">
      <alignment horizontal="left" vertical="bottom"/>
    </xf>
    <xf borderId="7" fillId="0" fontId="6" numFmtId="0" xfId="0" applyBorder="1" applyFont="1"/>
    <xf borderId="12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9" fillId="0" fontId="7" numFmtId="0" xfId="0" applyAlignment="1" applyBorder="1" applyFont="1">
      <alignment vertical="bottom"/>
    </xf>
    <xf borderId="7" fillId="2" fontId="2" numFmtId="0" xfId="0" applyAlignment="1" applyBorder="1" applyFont="1">
      <alignment horizontal="left" readingOrder="0"/>
    </xf>
    <xf borderId="9" fillId="2" fontId="1" numFmtId="0" xfId="0" applyAlignment="1" applyBorder="1" applyFont="1">
      <alignment horizontal="left" readingOrder="0"/>
    </xf>
    <xf borderId="9" fillId="2" fontId="2" numFmtId="0" xfId="0" applyAlignment="1" applyBorder="1" applyFont="1">
      <alignment horizontal="left" readingOrder="0"/>
    </xf>
    <xf borderId="9" fillId="2" fontId="7" numFmtId="0" xfId="0" applyAlignment="1" applyBorder="1" applyFont="1">
      <alignment vertical="bottom"/>
    </xf>
    <xf borderId="9" fillId="2" fontId="9" numFmtId="0" xfId="0" applyAlignment="1" applyBorder="1" applyFont="1">
      <alignment horizontal="left" readingOrder="0"/>
    </xf>
    <xf borderId="8" fillId="2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9" fillId="2" fontId="4" numFmtId="0" xfId="0" applyAlignment="1" applyBorder="1" applyFont="1">
      <alignment horizontal="left"/>
    </xf>
    <xf borderId="8" fillId="2" fontId="4" numFmtId="0" xfId="0" applyAlignment="1" applyBorder="1" applyFont="1">
      <alignment horizontal="left"/>
    </xf>
    <xf borderId="9" fillId="2" fontId="7" numFmtId="0" xfId="0" applyAlignment="1" applyBorder="1" applyFont="1">
      <alignment horizontal="left" vertical="bottom"/>
    </xf>
    <xf borderId="9" fillId="0" fontId="7" numFmtId="0" xfId="0" applyAlignment="1" applyBorder="1" applyFont="1">
      <alignment horizontal="left" vertical="bottom"/>
    </xf>
    <xf borderId="9" fillId="0" fontId="10" numFmtId="0" xfId="0" applyAlignment="1" applyBorder="1" applyFont="1">
      <alignment horizontal="left" vertical="bottom"/>
    </xf>
    <xf borderId="8" fillId="2" fontId="7" numFmtId="0" xfId="0" applyAlignment="1" applyBorder="1" applyFont="1">
      <alignment horizontal="left" vertical="bottom"/>
    </xf>
    <xf borderId="3" fillId="0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2" fontId="2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3" fillId="2" fontId="11" numFmtId="0" xfId="0" applyAlignment="1" applyBorder="1" applyFont="1">
      <alignment horizontal="left" readingOrder="0"/>
    </xf>
    <xf borderId="4" fillId="2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left"/>
    </xf>
    <xf borderId="0" fillId="2" fontId="1" numFmtId="0" xfId="0" applyAlignment="1" applyFont="1">
      <alignment horizontal="left" readingOrder="0"/>
    </xf>
    <xf borderId="11" fillId="0" fontId="6" numFmtId="0" xfId="0" applyBorder="1" applyFont="1"/>
    <xf borderId="0" fillId="2" fontId="1" numFmtId="0" xfId="0" applyAlignment="1" applyFont="1">
      <alignment horizontal="left"/>
    </xf>
    <xf borderId="0" fillId="218" fontId="7" numFmtId="0" xfId="0" applyAlignment="1" applyFill="1" applyFont="1">
      <alignment vertical="bottom"/>
    </xf>
    <xf borderId="0" fillId="0" fontId="9" numFmtId="0" xfId="0" applyAlignment="1" applyFont="1">
      <alignment horizontal="left" readingOrder="0"/>
    </xf>
    <xf borderId="0" fillId="219" fontId="7" numFmtId="0" xfId="0" applyAlignment="1" applyFill="1" applyFont="1">
      <alignment vertical="bottom"/>
    </xf>
    <xf borderId="0" fillId="0" fontId="4" numFmtId="0" xfId="0" applyFont="1"/>
    <xf borderId="5" fillId="2" fontId="4" numFmtId="0" xfId="0" applyAlignment="1" applyBorder="1" applyFont="1">
      <alignment horizontal="left"/>
    </xf>
    <xf borderId="0" fillId="2" fontId="8" numFmtId="0" xfId="0" applyAlignment="1" applyFont="1">
      <alignment horizontal="left"/>
    </xf>
    <xf borderId="0" fillId="220" fontId="7" numFmtId="0" xfId="0" applyAlignment="1" applyFill="1" applyFont="1">
      <alignment vertical="bottom"/>
    </xf>
    <xf borderId="0" fillId="221" fontId="7" numFmtId="0" xfId="0" applyAlignment="1" applyFill="1" applyFont="1">
      <alignment vertical="bottom"/>
    </xf>
    <xf borderId="5" fillId="208" fontId="10" numFmtId="0" xfId="0" applyAlignment="1" applyBorder="1" applyFont="1">
      <alignment horizontal="left" vertical="bottom"/>
    </xf>
    <xf borderId="0" fillId="222" fontId="10" numFmtId="0" xfId="0" applyAlignment="1" applyFill="1" applyFont="1">
      <alignment horizontal="left" vertical="bottom"/>
    </xf>
    <xf borderId="0" fillId="223" fontId="7" numFmtId="0" xfId="0" applyAlignment="1" applyFill="1" applyFont="1">
      <alignment horizontal="left" vertical="bottom"/>
    </xf>
    <xf borderId="0" fillId="208" fontId="7" numFmtId="0" xfId="0" applyAlignment="1" applyFont="1">
      <alignment horizontal="left" vertical="bottom"/>
    </xf>
    <xf borderId="5" fillId="224" fontId="7" numFmtId="0" xfId="0" applyAlignment="1" applyBorder="1" applyFill="1" applyFont="1">
      <alignment horizontal="left" vertical="bottom"/>
    </xf>
    <xf borderId="0" fillId="225" fontId="7" numFmtId="0" xfId="0" applyAlignment="1" applyFill="1" applyFont="1">
      <alignment horizontal="left" vertical="bottom"/>
    </xf>
    <xf borderId="0" fillId="226" fontId="7" numFmtId="0" xfId="0" applyAlignment="1" applyFill="1" applyFont="1">
      <alignment horizontal="left" vertical="bottom"/>
    </xf>
    <xf borderId="5" fillId="0" fontId="7" numFmtId="0" xfId="0" applyAlignment="1" applyBorder="1" applyFont="1">
      <alignment horizontal="left" vertical="bottom"/>
    </xf>
    <xf borderId="0" fillId="227" fontId="7" numFmtId="0" xfId="0" applyAlignment="1" applyFill="1" applyFont="1">
      <alignment horizontal="left" vertical="bottom"/>
    </xf>
    <xf borderId="0" fillId="228" fontId="7" numFmtId="0" xfId="0" applyAlignment="1" applyFill="1" applyFont="1">
      <alignment horizontal="left" vertical="bottom"/>
    </xf>
    <xf borderId="0" fillId="229" fontId="7" numFmtId="0" xfId="0" applyAlignment="1" applyFill="1" applyFont="1">
      <alignment horizontal="left" vertical="bottom"/>
    </xf>
    <xf borderId="5" fillId="230" fontId="7" numFmtId="0" xfId="0" applyAlignment="1" applyBorder="1" applyFill="1" applyFont="1">
      <alignment horizontal="left" vertical="bottom"/>
    </xf>
    <xf borderId="0" fillId="231" fontId="7" numFmtId="0" xfId="0" applyAlignment="1" applyFill="1" applyFont="1">
      <alignment horizontal="left" vertical="bottom"/>
    </xf>
    <xf borderId="0" fillId="2" fontId="10" numFmtId="0" xfId="0" applyAlignment="1" applyFont="1">
      <alignment vertical="bottom"/>
    </xf>
    <xf borderId="0" fillId="232" fontId="7" numFmtId="0" xfId="0" applyAlignment="1" applyFill="1" applyFont="1">
      <alignment horizontal="left" vertical="bottom"/>
    </xf>
    <xf borderId="6" fillId="0" fontId="2" numFmtId="0" xfId="0" applyAlignment="1" applyBorder="1" applyFont="1">
      <alignment readingOrder="0"/>
    </xf>
    <xf borderId="0" fillId="233" fontId="7" numFmtId="0" xfId="0" applyAlignment="1" applyFill="1" applyFont="1">
      <alignment horizontal="left" vertical="bottom"/>
    </xf>
    <xf borderId="0" fillId="234" fontId="7" numFmtId="0" xfId="0" applyAlignment="1" applyFill="1" applyFont="1">
      <alignment horizontal="left" vertical="bottom"/>
    </xf>
    <xf borderId="0" fillId="235" fontId="7" numFmtId="0" xfId="0" applyAlignment="1" applyFill="1" applyFont="1">
      <alignment horizontal="left" vertical="bottom"/>
    </xf>
    <xf borderId="0" fillId="0" fontId="7" numFmtId="0" xfId="0" applyAlignment="1" applyFont="1">
      <alignment horizontal="right" vertical="bottom"/>
    </xf>
    <xf borderId="5" fillId="2" fontId="7" numFmtId="0" xfId="0" applyAlignment="1" applyBorder="1" applyFont="1">
      <alignment horizontal="left" vertical="bottom"/>
    </xf>
    <xf borderId="0" fillId="236" fontId="7" numFmtId="0" xfId="0" applyAlignment="1" applyFill="1" applyFont="1">
      <alignment horizontal="left" vertical="bottom"/>
    </xf>
    <xf borderId="0" fillId="237" fontId="7" numFmtId="0" xfId="0" applyAlignment="1" applyFill="1" applyFont="1">
      <alignment horizontal="left" vertical="bottom"/>
    </xf>
    <xf borderId="6" fillId="0" fontId="4" numFmtId="0" xfId="0" applyBorder="1" applyFont="1"/>
    <xf borderId="12" fillId="0" fontId="6" numFmtId="0" xfId="0" applyBorder="1" applyFont="1"/>
    <xf borderId="7" fillId="0" fontId="7" numFmtId="0" xfId="0" applyAlignment="1" applyBorder="1" applyFont="1">
      <alignment horizontal="left" vertical="bottom"/>
    </xf>
    <xf borderId="9" fillId="238" fontId="7" numFmtId="0" xfId="0" applyAlignment="1" applyBorder="1" applyFill="1" applyFont="1">
      <alignment horizontal="left" vertical="bottom"/>
    </xf>
    <xf borderId="9" fillId="233" fontId="7" numFmtId="0" xfId="0" applyAlignment="1" applyBorder="1" applyFont="1">
      <alignment horizontal="left" vertical="bottom"/>
    </xf>
    <xf borderId="9" fillId="239" fontId="7" numFmtId="0" xfId="0" applyAlignment="1" applyBorder="1" applyFill="1" applyFont="1">
      <alignment horizontal="left" vertical="bottom"/>
    </xf>
    <xf borderId="9" fillId="240" fontId="7" numFmtId="0" xfId="0" applyAlignment="1" applyBorder="1" applyFill="1" applyFont="1">
      <alignment horizontal="left" vertical="bottom"/>
    </xf>
    <xf borderId="7" fillId="241" fontId="7" numFmtId="0" xfId="0" applyAlignment="1" applyBorder="1" applyFill="1" applyFont="1">
      <alignment horizontal="left" vertical="bottom"/>
    </xf>
    <xf borderId="9" fillId="236" fontId="7" numFmtId="0" xfId="0" applyAlignment="1" applyBorder="1" applyFont="1">
      <alignment horizontal="left" vertical="bottom"/>
    </xf>
    <xf borderId="9" fillId="225" fontId="7" numFmtId="0" xfId="0" applyAlignment="1" applyBorder="1" applyFont="1">
      <alignment horizontal="left" vertical="bottom"/>
    </xf>
    <xf borderId="9" fillId="242" fontId="7" numFmtId="0" xfId="0" applyAlignment="1" applyBorder="1" applyFill="1" applyFont="1">
      <alignment horizontal="left" vertical="bottom"/>
    </xf>
    <xf borderId="9" fillId="0" fontId="4" numFmtId="0" xfId="0" applyAlignment="1" applyBorder="1" applyFont="1">
      <alignment horizontal="left"/>
    </xf>
    <xf borderId="8" fillId="0" fontId="4" numFmtId="0" xfId="0" applyBorder="1" applyFont="1"/>
    <xf borderId="0" fillId="0" fontId="1" numFmtId="0" xfId="0" applyAlignment="1" applyFont="1">
      <alignment horizontal="left"/>
    </xf>
    <xf borderId="3" fillId="243" fontId="1" numFmtId="0" xfId="0" applyAlignment="1" applyBorder="1" applyFill="1" applyFont="1">
      <alignment readingOrder="0"/>
    </xf>
    <xf borderId="0" fillId="243" fontId="1" numFmtId="0" xfId="0" applyFont="1"/>
    <xf borderId="9" fillId="243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3" fillId="2" fontId="9" numFmtId="0" xfId="0" applyAlignment="1" applyBorder="1" applyFont="1">
      <alignment horizontal="left" readingOrder="0"/>
    </xf>
    <xf borderId="0" fillId="243" fontId="1" numFmtId="0" xfId="0" applyAlignment="1" applyFont="1">
      <alignment horizontal="left" readingOrder="0"/>
    </xf>
    <xf borderId="3" fillId="243" fontId="1" numFmtId="0" xfId="0" applyAlignment="1" applyBorder="1" applyFont="1">
      <alignment horizontal="left" readingOrder="0"/>
    </xf>
    <xf borderId="6" fillId="2" fontId="2" numFmtId="0" xfId="0" applyAlignment="1" applyBorder="1" applyFont="1">
      <alignment horizontal="left" readingOrder="0"/>
    </xf>
    <xf borderId="0" fillId="243" fontId="2" numFmtId="0" xfId="0" applyAlignment="1" applyFont="1">
      <alignment horizontal="left" readingOrder="0"/>
    </xf>
    <xf borderId="5" fillId="2" fontId="2" numFmtId="0" xfId="0" applyAlignment="1" applyBorder="1" applyFont="1">
      <alignment horizontal="left" readingOrder="0"/>
    </xf>
    <xf borderId="11" fillId="244" fontId="1" numFmtId="0" xfId="0" applyAlignment="1" applyBorder="1" applyFill="1" applyFont="1">
      <alignment readingOrder="0"/>
    </xf>
    <xf borderId="0" fillId="2" fontId="9" numFmtId="0" xfId="0" applyAlignment="1" applyFont="1">
      <alignment horizontal="left"/>
    </xf>
    <xf borderId="6" fillId="2" fontId="1" numFmtId="0" xfId="0" applyAlignment="1" applyBorder="1" applyFont="1">
      <alignment horizontal="left"/>
    </xf>
    <xf borderId="0" fillId="243" fontId="1" numFmtId="0" xfId="0" applyAlignment="1" applyFont="1">
      <alignment horizontal="left"/>
    </xf>
    <xf borderId="5" fillId="2" fontId="1" numFmtId="0" xfId="0" applyAlignment="1" applyBorder="1" applyFont="1">
      <alignment horizontal="left"/>
    </xf>
    <xf borderId="0" fillId="2" fontId="10" numFmtId="0" xfId="0" applyAlignment="1" applyFont="1">
      <alignment horizontal="left" vertical="bottom"/>
    </xf>
    <xf borderId="9" fillId="243" fontId="1" numFmtId="0" xfId="0" applyAlignment="1" applyBorder="1" applyFont="1">
      <alignment horizontal="left" readingOrder="0"/>
    </xf>
    <xf borderId="4" fillId="2" fontId="1" numFmtId="0" xfId="0" applyAlignment="1" applyBorder="1" applyFont="1">
      <alignment horizontal="left" readingOrder="0"/>
    </xf>
    <xf borderId="3" fillId="243" fontId="2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 readingOrder="0"/>
    </xf>
    <xf borderId="0" fillId="2" fontId="1" numFmtId="0" xfId="0" applyFont="1"/>
    <xf borderId="5" fillId="2" fontId="1" numFmtId="0" xfId="0" applyBorder="1" applyFont="1"/>
    <xf borderId="11" fillId="0" fontId="1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7" fillId="2" fontId="1" numFmtId="0" xfId="0" applyAlignment="1" applyBorder="1" applyFont="1">
      <alignment horizontal="left" readingOrder="0"/>
    </xf>
    <xf borderId="3" fillId="245" fontId="1" numFmtId="0" xfId="0" applyAlignment="1" applyBorder="1" applyFill="1" applyFont="1">
      <alignment readingOrder="0"/>
    </xf>
    <xf borderId="9" fillId="245" fontId="1" numFmtId="0" xfId="0" applyAlignment="1" applyBorder="1" applyFont="1">
      <alignment readingOrder="0"/>
    </xf>
    <xf borderId="3" fillId="245" fontId="1" numFmtId="0" xfId="0" applyAlignment="1" applyBorder="1" applyFont="1">
      <alignment horizontal="left" readingOrder="0"/>
    </xf>
    <xf borderId="0" fillId="245" fontId="1" numFmtId="0" xfId="0" applyAlignment="1" applyFont="1">
      <alignment horizontal="left" readingOrder="0"/>
    </xf>
    <xf borderId="0" fillId="245" fontId="2" numFmtId="0" xfId="0" applyAlignment="1" applyFont="1">
      <alignment horizontal="left" readingOrder="0"/>
    </xf>
    <xf borderId="0" fillId="245" fontId="1" numFmtId="0" xfId="0" applyAlignment="1" applyFont="1">
      <alignment horizontal="left"/>
    </xf>
    <xf borderId="9" fillId="0" fontId="1" numFmtId="0" xfId="0" applyAlignment="1" applyBorder="1" applyFont="1">
      <alignment readingOrder="0"/>
    </xf>
    <xf borderId="9" fillId="245" fontId="1" numFmtId="0" xfId="0" applyAlignment="1" applyBorder="1" applyFont="1">
      <alignment horizontal="left" readingOrder="0"/>
    </xf>
    <xf borderId="3" fillId="245" fontId="2" numFmtId="0" xfId="0" applyAlignment="1" applyBorder="1" applyFont="1">
      <alignment horizontal="left" readingOrder="0"/>
    </xf>
    <xf borderId="3" fillId="245" fontId="1" numFmtId="0" xfId="0" applyAlignment="1" applyBorder="1" applyFont="1">
      <alignment horizontal="left" readingOrder="0"/>
    </xf>
    <xf borderId="0" fillId="245" fontId="1" numFmtId="0" xfId="0" applyFont="1"/>
    <xf borderId="9" fillId="0" fontId="1" numFmtId="0" xfId="0" applyAlignment="1" applyBorder="1" applyFont="1">
      <alignment horizontal="left"/>
    </xf>
    <xf borderId="0" fillId="2" fontId="11" numFmtId="0" xfId="0" applyAlignment="1" applyFont="1">
      <alignment horizontal="left" readingOrder="0"/>
    </xf>
    <xf borderId="9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4" fillId="0" fontId="1" numFmtId="0" xfId="0" applyAlignment="1" applyBorder="1" applyFont="1">
      <alignment horizontal="left" readingOrder="0"/>
    </xf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14.86"/>
    <col customWidth="1" min="2" max="2" width="35.57"/>
    <col customWidth="1" min="3" max="71" width="8.71"/>
    <col customWidth="1" hidden="1" min="72" max="72" width="14.71"/>
    <col customWidth="1" hidden="1" min="73" max="76" width="8.71"/>
    <col customWidth="1" min="77" max="77" width="17.0"/>
    <col customWidth="1" min="78" max="78" width="16.86"/>
    <col customWidth="1" min="79" max="90" width="8.71"/>
    <col customWidth="1" min="91" max="94" width="12.57"/>
    <col customWidth="1" min="95" max="114" width="8.71"/>
    <col customWidth="1" min="115" max="115" width="14.29"/>
    <col customWidth="1" min="116" max="125" width="8.71"/>
    <col customWidth="1" min="126" max="126" width="40.71"/>
    <col customWidth="1" min="127" max="133" width="8.71"/>
    <col customWidth="1" min="134" max="134" width="12.71"/>
    <col customWidth="1" min="135" max="139" width="8.71"/>
    <col customWidth="1" min="140" max="140" width="13.14"/>
    <col customWidth="1" min="141" max="153" width="8.71"/>
  </cols>
  <sheetData>
    <row r="1">
      <c r="A1" s="1" t="s">
        <v>0</v>
      </c>
    </row>
    <row r="2">
      <c r="A2" s="1" t="s">
        <v>1</v>
      </c>
      <c r="C2" s="2" t="s">
        <v>2</v>
      </c>
      <c r="AG2" s="1" t="s">
        <v>3</v>
      </c>
      <c r="AV2" s="1" t="s">
        <v>4</v>
      </c>
      <c r="BY2" s="1" t="s">
        <v>5</v>
      </c>
      <c r="CQ2" s="1" t="s">
        <v>6</v>
      </c>
      <c r="DZ2" s="3" t="s">
        <v>7</v>
      </c>
      <c r="EA2" s="4"/>
      <c r="EB2" s="4"/>
      <c r="EC2" s="4"/>
      <c r="ED2" s="4"/>
      <c r="EE2" s="3" t="s">
        <v>8</v>
      </c>
      <c r="EF2" s="4"/>
      <c r="EG2" s="4"/>
      <c r="EH2" s="3" t="s">
        <v>9</v>
      </c>
      <c r="EI2" s="5"/>
      <c r="EJ2" s="6" t="s">
        <v>10</v>
      </c>
      <c r="EK2" s="7" t="s">
        <v>10</v>
      </c>
      <c r="EL2" s="8"/>
      <c r="EM2" s="8"/>
      <c r="EN2" s="9"/>
      <c r="EO2" s="10" t="s">
        <v>11</v>
      </c>
      <c r="EP2" s="4"/>
      <c r="EQ2" s="4"/>
      <c r="ER2" s="4"/>
      <c r="ES2" s="4"/>
      <c r="ET2" s="4"/>
      <c r="EU2" s="4"/>
      <c r="EV2" s="4"/>
      <c r="EW2" s="4"/>
    </row>
    <row r="3"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13</v>
      </c>
      <c r="I3" s="11" t="s">
        <v>13</v>
      </c>
      <c r="J3" s="11" t="s">
        <v>13</v>
      </c>
      <c r="K3" s="11" t="s">
        <v>13</v>
      </c>
      <c r="L3" s="11" t="s">
        <v>13</v>
      </c>
      <c r="M3" s="11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15</v>
      </c>
      <c r="S3" s="11" t="s">
        <v>15</v>
      </c>
      <c r="T3" s="11" t="s">
        <v>15</v>
      </c>
      <c r="U3" s="11" t="s">
        <v>15</v>
      </c>
      <c r="V3" s="11" t="s">
        <v>15</v>
      </c>
      <c r="W3" s="11" t="s">
        <v>16</v>
      </c>
      <c r="X3" s="11" t="s">
        <v>16</v>
      </c>
      <c r="Y3" s="11" t="s">
        <v>16</v>
      </c>
      <c r="Z3" s="11" t="s">
        <v>16</v>
      </c>
      <c r="AA3" s="11" t="s">
        <v>16</v>
      </c>
      <c r="AB3" s="11" t="s">
        <v>17</v>
      </c>
      <c r="AC3" s="11" t="s">
        <v>17</v>
      </c>
      <c r="AD3" s="11" t="s">
        <v>17</v>
      </c>
      <c r="AE3" s="11" t="s">
        <v>17</v>
      </c>
      <c r="AF3" s="11" t="s">
        <v>17</v>
      </c>
      <c r="AG3" s="11" t="s">
        <v>18</v>
      </c>
      <c r="AH3" s="11" t="s">
        <v>18</v>
      </c>
      <c r="AI3" s="11" t="s">
        <v>18</v>
      </c>
      <c r="AJ3" s="11" t="s">
        <v>19</v>
      </c>
      <c r="AK3" s="11" t="s">
        <v>19</v>
      </c>
      <c r="AL3" s="11" t="s">
        <v>19</v>
      </c>
      <c r="AM3" s="11" t="s">
        <v>20</v>
      </c>
      <c r="AN3" s="11" t="s">
        <v>20</v>
      </c>
      <c r="AO3" s="11" t="s">
        <v>20</v>
      </c>
      <c r="AP3" s="11" t="s">
        <v>21</v>
      </c>
      <c r="AQ3" s="11" t="s">
        <v>21</v>
      </c>
      <c r="AR3" s="11" t="s">
        <v>21</v>
      </c>
      <c r="AS3" s="11" t="s">
        <v>22</v>
      </c>
      <c r="AT3" s="11" t="s">
        <v>22</v>
      </c>
      <c r="AU3" s="11" t="s">
        <v>22</v>
      </c>
      <c r="AV3" s="11" t="s">
        <v>23</v>
      </c>
      <c r="AW3" s="11" t="s">
        <v>23</v>
      </c>
      <c r="AX3" s="11" t="s">
        <v>23</v>
      </c>
      <c r="AY3" s="11" t="s">
        <v>24</v>
      </c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25</v>
      </c>
      <c r="BE3" s="11" t="s">
        <v>26</v>
      </c>
      <c r="BF3" s="11" t="s">
        <v>26</v>
      </c>
      <c r="BG3" s="11" t="s">
        <v>26</v>
      </c>
      <c r="BH3" s="11" t="s">
        <v>27</v>
      </c>
      <c r="BI3" s="11" t="s">
        <v>27</v>
      </c>
      <c r="BJ3" s="11" t="s">
        <v>27</v>
      </c>
      <c r="BK3" s="11" t="s">
        <v>28</v>
      </c>
      <c r="BL3" s="11" t="s">
        <v>28</v>
      </c>
      <c r="BM3" s="11" t="s">
        <v>28</v>
      </c>
      <c r="BN3" s="11" t="s">
        <v>29</v>
      </c>
      <c r="BO3" s="11" t="s">
        <v>29</v>
      </c>
      <c r="BP3" s="11" t="s">
        <v>29</v>
      </c>
      <c r="BQ3" s="11" t="s">
        <v>30</v>
      </c>
      <c r="BR3" s="11" t="s">
        <v>30</v>
      </c>
      <c r="BS3" s="11" t="s">
        <v>30</v>
      </c>
      <c r="BT3" s="11" t="s">
        <v>31</v>
      </c>
      <c r="BU3" s="11" t="s">
        <v>31</v>
      </c>
      <c r="BV3" s="11" t="s">
        <v>31</v>
      </c>
      <c r="BW3" s="11" t="s">
        <v>31</v>
      </c>
      <c r="BX3" s="11" t="s">
        <v>31</v>
      </c>
      <c r="BY3" s="11" t="s">
        <v>32</v>
      </c>
      <c r="BZ3" s="11" t="s">
        <v>32</v>
      </c>
      <c r="CA3" s="11" t="s">
        <v>32</v>
      </c>
      <c r="CB3" s="11" t="s">
        <v>32</v>
      </c>
      <c r="CC3" s="11" t="s">
        <v>32</v>
      </c>
      <c r="CD3" s="11" t="s">
        <v>33</v>
      </c>
      <c r="CE3" s="11" t="s">
        <v>33</v>
      </c>
      <c r="CF3" s="11" t="s">
        <v>33</v>
      </c>
      <c r="CG3" s="11" t="s">
        <v>33</v>
      </c>
      <c r="CH3" s="11" t="s">
        <v>34</v>
      </c>
      <c r="CI3" s="11" t="s">
        <v>34</v>
      </c>
      <c r="CJ3" s="11" t="s">
        <v>34</v>
      </c>
      <c r="CK3" s="11" t="s">
        <v>34</v>
      </c>
      <c r="CL3" s="11" t="s">
        <v>34</v>
      </c>
      <c r="CM3" s="12" t="s">
        <v>35</v>
      </c>
      <c r="CN3" s="12" t="s">
        <v>35</v>
      </c>
      <c r="CO3" s="12" t="s">
        <v>35</v>
      </c>
      <c r="CP3" s="12" t="s">
        <v>35</v>
      </c>
      <c r="CQ3" s="11" t="s">
        <v>36</v>
      </c>
      <c r="CR3" s="11" t="s">
        <v>36</v>
      </c>
      <c r="CS3" s="11" t="s">
        <v>36</v>
      </c>
      <c r="CT3" s="11" t="s">
        <v>36</v>
      </c>
      <c r="CU3" s="11" t="s">
        <v>36</v>
      </c>
      <c r="CV3" s="11" t="s">
        <v>36</v>
      </c>
      <c r="CW3" s="11" t="s">
        <v>36</v>
      </c>
      <c r="CX3" s="11" t="s">
        <v>37</v>
      </c>
      <c r="CY3" s="11" t="s">
        <v>37</v>
      </c>
      <c r="CZ3" s="11" t="s">
        <v>37</v>
      </c>
      <c r="DA3" s="11" t="s">
        <v>37</v>
      </c>
      <c r="DB3" s="11" t="s">
        <v>37</v>
      </c>
      <c r="DC3" s="11" t="s">
        <v>37</v>
      </c>
      <c r="DD3" s="11" t="s">
        <v>37</v>
      </c>
      <c r="DE3" s="11" t="s">
        <v>38</v>
      </c>
      <c r="DF3" s="11" t="s">
        <v>38</v>
      </c>
      <c r="DG3" s="11" t="s">
        <v>38</v>
      </c>
      <c r="DH3" s="11" t="s">
        <v>38</v>
      </c>
      <c r="DI3" s="11" t="s">
        <v>38</v>
      </c>
      <c r="DJ3" s="11" t="s">
        <v>38</v>
      </c>
      <c r="DK3" s="11" t="s">
        <v>38</v>
      </c>
      <c r="DL3" s="11" t="s">
        <v>39</v>
      </c>
      <c r="DM3" s="11" t="s">
        <v>39</v>
      </c>
      <c r="DN3" s="11" t="s">
        <v>39</v>
      </c>
      <c r="DO3" s="11" t="s">
        <v>39</v>
      </c>
      <c r="DP3" s="11" t="s">
        <v>39</v>
      </c>
      <c r="DQ3" s="4" t="s">
        <v>40</v>
      </c>
      <c r="DR3" s="4" t="s">
        <v>40</v>
      </c>
      <c r="DS3" s="4" t="s">
        <v>40</v>
      </c>
      <c r="DT3" s="4" t="s">
        <v>40</v>
      </c>
      <c r="DU3" s="4" t="s">
        <v>40</v>
      </c>
      <c r="DZ3" s="13" t="s">
        <v>41</v>
      </c>
      <c r="EA3" s="14" t="s">
        <v>41</v>
      </c>
      <c r="EB3" s="14" t="s">
        <v>41</v>
      </c>
      <c r="EC3" s="14" t="s">
        <v>41</v>
      </c>
      <c r="ED3" s="15" t="s">
        <v>41</v>
      </c>
      <c r="EE3" s="13" t="s">
        <v>42</v>
      </c>
      <c r="EF3" s="14" t="s">
        <v>42</v>
      </c>
      <c r="EG3" s="15" t="s">
        <v>42</v>
      </c>
      <c r="EH3" s="14" t="s">
        <v>4</v>
      </c>
      <c r="EI3" s="15" t="s">
        <v>4</v>
      </c>
      <c r="EJ3" s="16" t="s">
        <v>5</v>
      </c>
      <c r="EK3" s="17" t="s">
        <v>5</v>
      </c>
      <c r="EL3" s="17" t="s">
        <v>5</v>
      </c>
      <c r="EM3" s="17" t="s">
        <v>5</v>
      </c>
      <c r="EN3" s="18" t="s">
        <v>5</v>
      </c>
      <c r="EO3" s="13" t="s">
        <v>43</v>
      </c>
      <c r="EP3" s="14" t="s">
        <v>43</v>
      </c>
      <c r="EQ3" s="14" t="s">
        <v>43</v>
      </c>
      <c r="ER3" s="14" t="s">
        <v>43</v>
      </c>
      <c r="ES3" s="14" t="s">
        <v>43</v>
      </c>
      <c r="ET3" s="14" t="s">
        <v>43</v>
      </c>
      <c r="EU3" s="15" t="s">
        <v>43</v>
      </c>
      <c r="EV3" s="5" t="s">
        <v>43</v>
      </c>
      <c r="EW3" s="5" t="s">
        <v>4</v>
      </c>
    </row>
    <row r="4"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44</v>
      </c>
      <c r="N4" s="11" t="s">
        <v>45</v>
      </c>
      <c r="O4" s="11" t="s">
        <v>46</v>
      </c>
      <c r="P4" s="11" t="s">
        <v>47</v>
      </c>
      <c r="Q4" s="11" t="s">
        <v>48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1" t="s">
        <v>44</v>
      </c>
      <c r="AC4" s="11" t="s">
        <v>45</v>
      </c>
      <c r="AD4" s="11" t="s">
        <v>46</v>
      </c>
      <c r="AE4" s="11" t="s">
        <v>47</v>
      </c>
      <c r="AF4" s="11" t="s">
        <v>48</v>
      </c>
      <c r="AG4" s="11" t="s">
        <v>44</v>
      </c>
      <c r="AH4" s="11" t="s">
        <v>45</v>
      </c>
      <c r="AI4" s="11" t="s">
        <v>46</v>
      </c>
      <c r="AJ4" s="11" t="s">
        <v>44</v>
      </c>
      <c r="AK4" s="11" t="s">
        <v>45</v>
      </c>
      <c r="AL4" s="11" t="s">
        <v>46</v>
      </c>
      <c r="AM4" s="11" t="s">
        <v>44</v>
      </c>
      <c r="AN4" s="11" t="s">
        <v>45</v>
      </c>
      <c r="AO4" s="11" t="s">
        <v>46</v>
      </c>
      <c r="AP4" s="11" t="s">
        <v>44</v>
      </c>
      <c r="AQ4" s="11" t="s">
        <v>45</v>
      </c>
      <c r="AR4" s="11" t="s">
        <v>46</v>
      </c>
      <c r="AS4" s="11" t="s">
        <v>44</v>
      </c>
      <c r="AT4" s="11" t="s">
        <v>45</v>
      </c>
      <c r="AU4" s="11" t="s">
        <v>46</v>
      </c>
      <c r="AV4" s="11" t="s">
        <v>44</v>
      </c>
      <c r="AW4" s="11" t="s">
        <v>45</v>
      </c>
      <c r="AX4" s="11" t="s">
        <v>46</v>
      </c>
      <c r="AY4" s="11" t="s">
        <v>44</v>
      </c>
      <c r="AZ4" s="11" t="s">
        <v>45</v>
      </c>
      <c r="BA4" s="11" t="s">
        <v>46</v>
      </c>
      <c r="BB4" s="11" t="s">
        <v>44</v>
      </c>
      <c r="BC4" s="11" t="s">
        <v>45</v>
      </c>
      <c r="BD4" s="11" t="s">
        <v>46</v>
      </c>
      <c r="BE4" s="11" t="s">
        <v>44</v>
      </c>
      <c r="BF4" s="11" t="s">
        <v>45</v>
      </c>
      <c r="BG4" s="11" t="s">
        <v>46</v>
      </c>
      <c r="BH4" s="11" t="s">
        <v>44</v>
      </c>
      <c r="BI4" s="11" t="s">
        <v>45</v>
      </c>
      <c r="BJ4" s="11" t="s">
        <v>46</v>
      </c>
      <c r="BK4" s="11" t="s">
        <v>44</v>
      </c>
      <c r="BL4" s="11" t="s">
        <v>45</v>
      </c>
      <c r="BM4" s="11" t="s">
        <v>46</v>
      </c>
      <c r="BN4" s="11" t="s">
        <v>44</v>
      </c>
      <c r="BO4" s="11" t="s">
        <v>45</v>
      </c>
      <c r="BP4" s="11" t="s">
        <v>46</v>
      </c>
      <c r="BQ4" s="11" t="s">
        <v>44</v>
      </c>
      <c r="BR4" s="11" t="s">
        <v>45</v>
      </c>
      <c r="BS4" s="11" t="s">
        <v>46</v>
      </c>
      <c r="BT4" s="11" t="s">
        <v>44</v>
      </c>
      <c r="BU4" s="11" t="s">
        <v>45</v>
      </c>
      <c r="BV4" s="11" t="s">
        <v>46</v>
      </c>
      <c r="BW4" s="11" t="s">
        <v>47</v>
      </c>
      <c r="BX4" s="11" t="s">
        <v>48</v>
      </c>
      <c r="BY4" s="11" t="s">
        <v>44</v>
      </c>
      <c r="BZ4" s="11" t="s">
        <v>45</v>
      </c>
      <c r="CA4" s="11" t="s">
        <v>46</v>
      </c>
      <c r="CB4" s="11" t="s">
        <v>47</v>
      </c>
      <c r="CC4" s="11" t="s">
        <v>48</v>
      </c>
      <c r="CD4" s="11" t="s">
        <v>45</v>
      </c>
      <c r="CE4" s="11" t="s">
        <v>46</v>
      </c>
      <c r="CF4" s="11" t="s">
        <v>47</v>
      </c>
      <c r="CG4" s="11" t="s">
        <v>48</v>
      </c>
      <c r="CH4" s="11" t="s">
        <v>44</v>
      </c>
      <c r="CI4" s="11" t="s">
        <v>45</v>
      </c>
      <c r="CJ4" s="11" t="s">
        <v>46</v>
      </c>
      <c r="CK4" s="11" t="s">
        <v>47</v>
      </c>
      <c r="CL4" s="11" t="s">
        <v>48</v>
      </c>
      <c r="CM4" s="11" t="s">
        <v>45</v>
      </c>
      <c r="CN4" s="11" t="s">
        <v>46</v>
      </c>
      <c r="CO4" s="11" t="s">
        <v>47</v>
      </c>
      <c r="CP4" s="11" t="s">
        <v>48</v>
      </c>
      <c r="CQ4" s="11" t="s">
        <v>45</v>
      </c>
      <c r="CR4" s="11" t="s">
        <v>46</v>
      </c>
      <c r="CS4" s="11" t="s">
        <v>49</v>
      </c>
      <c r="CT4" s="11" t="s">
        <v>50</v>
      </c>
      <c r="CU4" s="11" t="s">
        <v>47</v>
      </c>
      <c r="CV4" s="11" t="s">
        <v>48</v>
      </c>
      <c r="CW4" s="12" t="s">
        <v>44</v>
      </c>
      <c r="CX4" s="11" t="s">
        <v>45</v>
      </c>
      <c r="CY4" s="11" t="s">
        <v>46</v>
      </c>
      <c r="CZ4" s="11" t="s">
        <v>49</v>
      </c>
      <c r="DA4" s="11" t="s">
        <v>50</v>
      </c>
      <c r="DB4" s="11" t="s">
        <v>47</v>
      </c>
      <c r="DC4" s="11" t="s">
        <v>48</v>
      </c>
      <c r="DD4" s="12" t="s">
        <v>44</v>
      </c>
      <c r="DE4" s="11" t="s">
        <v>45</v>
      </c>
      <c r="DF4" s="11" t="s">
        <v>46</v>
      </c>
      <c r="DG4" s="11" t="s">
        <v>49</v>
      </c>
      <c r="DH4" s="11" t="s">
        <v>50</v>
      </c>
      <c r="DI4" s="11" t="s">
        <v>47</v>
      </c>
      <c r="DJ4" s="11" t="s">
        <v>48</v>
      </c>
      <c r="DK4" s="12" t="s">
        <v>44</v>
      </c>
      <c r="DL4" s="11" t="s">
        <v>44</v>
      </c>
      <c r="DM4" s="11" t="s">
        <v>45</v>
      </c>
      <c r="DN4" s="11" t="s">
        <v>46</v>
      </c>
      <c r="DO4" s="11" t="s">
        <v>47</v>
      </c>
      <c r="DP4" s="11" t="s">
        <v>48</v>
      </c>
      <c r="DQ4" s="4" t="s">
        <v>44</v>
      </c>
      <c r="DR4" s="4" t="s">
        <v>45</v>
      </c>
      <c r="DS4" s="4" t="s">
        <v>46</v>
      </c>
      <c r="DT4" s="4" t="s">
        <v>47</v>
      </c>
      <c r="DU4" s="4" t="s">
        <v>48</v>
      </c>
      <c r="DZ4" s="19" t="s">
        <v>44</v>
      </c>
      <c r="EA4" s="5" t="s">
        <v>45</v>
      </c>
      <c r="EB4" s="5" t="s">
        <v>46</v>
      </c>
      <c r="EC4" s="5" t="s">
        <v>47</v>
      </c>
      <c r="ED4" s="20" t="s">
        <v>48</v>
      </c>
      <c r="EE4" s="19" t="s">
        <v>44</v>
      </c>
      <c r="EF4" s="5" t="s">
        <v>45</v>
      </c>
      <c r="EG4" s="20" t="s">
        <v>46</v>
      </c>
      <c r="EH4" s="5" t="s">
        <v>45</v>
      </c>
      <c r="EI4" s="20" t="s">
        <v>46</v>
      </c>
      <c r="EJ4" s="21" t="s">
        <v>44</v>
      </c>
      <c r="EK4" s="9" t="s">
        <v>45</v>
      </c>
      <c r="EL4" s="9" t="s">
        <v>46</v>
      </c>
      <c r="EM4" s="9" t="s">
        <v>47</v>
      </c>
      <c r="EN4" s="22" t="s">
        <v>48</v>
      </c>
      <c r="EO4" s="19" t="s">
        <v>44</v>
      </c>
      <c r="EP4" s="5" t="s">
        <v>45</v>
      </c>
      <c r="EQ4" s="5" t="s">
        <v>46</v>
      </c>
      <c r="ER4" s="5" t="s">
        <v>47</v>
      </c>
      <c r="ES4" s="5" t="s">
        <v>48</v>
      </c>
      <c r="ET4" s="5" t="s">
        <v>49</v>
      </c>
      <c r="EU4" s="20" t="s">
        <v>50</v>
      </c>
      <c r="EV4" s="5" t="s">
        <v>51</v>
      </c>
      <c r="EW4" s="5" t="s">
        <v>44</v>
      </c>
    </row>
    <row r="5">
      <c r="A5" s="23" t="s">
        <v>52</v>
      </c>
      <c r="B5" s="24" t="s">
        <v>53</v>
      </c>
      <c r="C5" s="25">
        <v>0.82</v>
      </c>
      <c r="D5" s="26" t="s">
        <v>54</v>
      </c>
      <c r="E5" s="26" t="s">
        <v>55</v>
      </c>
      <c r="F5" s="26" t="s">
        <v>56</v>
      </c>
      <c r="G5" s="26" t="s">
        <v>57</v>
      </c>
      <c r="H5" s="26">
        <v>0.332</v>
      </c>
      <c r="I5" s="26" t="s">
        <v>58</v>
      </c>
      <c r="J5" s="26" t="s">
        <v>59</v>
      </c>
      <c r="K5" s="26" t="s">
        <v>60</v>
      </c>
      <c r="L5" s="26" t="s">
        <v>61</v>
      </c>
      <c r="M5" s="26">
        <v>0.769</v>
      </c>
      <c r="N5" s="26" t="s">
        <v>62</v>
      </c>
      <c r="O5" s="26" t="s">
        <v>63</v>
      </c>
      <c r="P5" s="26" t="s">
        <v>64</v>
      </c>
      <c r="Q5" s="26" t="s">
        <v>65</v>
      </c>
      <c r="R5" s="26">
        <v>0.639</v>
      </c>
      <c r="S5" s="26" t="s">
        <v>66</v>
      </c>
      <c r="T5" s="26" t="s">
        <v>67</v>
      </c>
      <c r="U5" s="26" t="s">
        <v>68</v>
      </c>
      <c r="V5" s="26" t="s">
        <v>69</v>
      </c>
      <c r="W5" s="26">
        <v>0.842</v>
      </c>
      <c r="X5" s="26" t="s">
        <v>70</v>
      </c>
      <c r="Y5" s="26" t="s">
        <v>71</v>
      </c>
      <c r="Z5" s="26" t="s">
        <v>72</v>
      </c>
      <c r="AA5" s="26" t="s">
        <v>73</v>
      </c>
      <c r="AB5" s="26">
        <v>0.945</v>
      </c>
      <c r="AC5" s="26" t="s">
        <v>74</v>
      </c>
      <c r="AD5" s="26" t="s">
        <v>75</v>
      </c>
      <c r="AE5" s="26" t="s">
        <v>76</v>
      </c>
      <c r="AF5" s="27" t="s">
        <v>77</v>
      </c>
      <c r="AG5" s="26">
        <v>0.428</v>
      </c>
      <c r="AH5" s="26" t="s">
        <v>78</v>
      </c>
      <c r="AI5" s="26" t="s">
        <v>79</v>
      </c>
      <c r="AJ5" s="26">
        <v>0.094</v>
      </c>
      <c r="AK5" s="26" t="s">
        <v>80</v>
      </c>
      <c r="AL5" s="26" t="s">
        <v>81</v>
      </c>
      <c r="AM5" s="26">
        <v>0.577</v>
      </c>
      <c r="AN5" s="26" t="s">
        <v>82</v>
      </c>
      <c r="AO5" s="26" t="s">
        <v>83</v>
      </c>
      <c r="AP5" s="26">
        <v>0.216</v>
      </c>
      <c r="AQ5" s="26" t="s">
        <v>84</v>
      </c>
      <c r="AR5" s="26" t="s">
        <v>85</v>
      </c>
      <c r="AS5" s="26">
        <v>0.381</v>
      </c>
      <c r="AT5" s="26" t="s">
        <v>86</v>
      </c>
      <c r="AU5" s="26" t="s">
        <v>87</v>
      </c>
      <c r="AV5" s="28">
        <v>0.108</v>
      </c>
      <c r="AW5" s="26" t="s">
        <v>88</v>
      </c>
      <c r="AX5" s="26" t="s">
        <v>89</v>
      </c>
      <c r="AY5" s="29">
        <v>0.046</v>
      </c>
      <c r="AZ5" s="26" t="s">
        <v>90</v>
      </c>
      <c r="BA5" s="26" t="s">
        <v>91</v>
      </c>
      <c r="BB5" s="29">
        <v>0.062</v>
      </c>
      <c r="BC5" s="26" t="s">
        <v>92</v>
      </c>
      <c r="BD5" s="26" t="s">
        <v>93</v>
      </c>
      <c r="BE5" s="29">
        <v>0.213</v>
      </c>
      <c r="BF5" s="26" t="s">
        <v>94</v>
      </c>
      <c r="BG5" s="26" t="s">
        <v>95</v>
      </c>
      <c r="BH5" s="29">
        <v>0.107</v>
      </c>
      <c r="BI5" s="26" t="s">
        <v>96</v>
      </c>
      <c r="BJ5" s="26" t="s">
        <v>97</v>
      </c>
      <c r="BK5" s="29">
        <v>0.094</v>
      </c>
      <c r="BL5" s="30">
        <v>0.704</v>
      </c>
      <c r="BM5" s="30">
        <v>0.793</v>
      </c>
      <c r="BN5" s="29">
        <v>0.079</v>
      </c>
      <c r="BO5" s="30">
        <v>0.725</v>
      </c>
      <c r="BP5" s="30">
        <v>0.82</v>
      </c>
      <c r="BQ5" s="26"/>
      <c r="BR5" s="26"/>
      <c r="BS5" s="27"/>
      <c r="BT5" s="26" t="s">
        <v>98</v>
      </c>
      <c r="BU5" s="26" t="s">
        <v>77</v>
      </c>
      <c r="BV5" s="26" t="s">
        <v>99</v>
      </c>
      <c r="BW5" s="26" t="s">
        <v>100</v>
      </c>
      <c r="BX5" s="26" t="s">
        <v>101</v>
      </c>
      <c r="BY5" s="26" t="s">
        <v>102</v>
      </c>
      <c r="BZ5" s="26" t="s">
        <v>103</v>
      </c>
      <c r="CA5" s="26" t="s">
        <v>104</v>
      </c>
      <c r="CB5" s="26" t="s">
        <v>105</v>
      </c>
      <c r="CC5" s="26" t="s">
        <v>106</v>
      </c>
      <c r="CD5" s="26" t="s">
        <v>107</v>
      </c>
      <c r="CE5" s="26" t="s">
        <v>108</v>
      </c>
      <c r="CF5" s="26" t="s">
        <v>109</v>
      </c>
      <c r="CG5" s="26" t="s">
        <v>110</v>
      </c>
      <c r="CH5" s="29">
        <v>0.9486196319</v>
      </c>
      <c r="CI5" s="29">
        <v>0.898063264</v>
      </c>
      <c r="CJ5" s="29">
        <v>0.9207566462</v>
      </c>
      <c r="CK5" s="29">
        <v>0.7423079753</v>
      </c>
      <c r="CL5" s="29">
        <v>0.6220189648</v>
      </c>
      <c r="CM5" s="31">
        <v>0.657</v>
      </c>
      <c r="CN5" s="31">
        <v>0.69</v>
      </c>
      <c r="CO5" s="31">
        <v>0.359</v>
      </c>
      <c r="CP5" s="31">
        <v>0.124</v>
      </c>
      <c r="CQ5" s="28">
        <v>0.835</v>
      </c>
      <c r="CR5" s="29">
        <v>0.955</v>
      </c>
      <c r="CS5" s="29">
        <v>0.47</v>
      </c>
      <c r="CT5" s="29">
        <v>0.129</v>
      </c>
      <c r="CU5" s="29">
        <v>0.725</v>
      </c>
      <c r="CV5" s="29">
        <v>0.573</v>
      </c>
      <c r="CW5" s="29">
        <v>0.185</v>
      </c>
      <c r="CX5" s="29">
        <v>0.885</v>
      </c>
      <c r="CY5" s="29">
        <v>0.931</v>
      </c>
      <c r="CZ5" s="29">
        <v>0.663</v>
      </c>
      <c r="DA5" s="29">
        <v>0.279</v>
      </c>
      <c r="DB5" s="29">
        <v>0.745</v>
      </c>
      <c r="DC5" s="29">
        <v>0.587</v>
      </c>
      <c r="DD5" s="29">
        <v>0.29</v>
      </c>
      <c r="DE5" s="29">
        <v>0.821</v>
      </c>
      <c r="DF5" s="29">
        <v>0.869</v>
      </c>
      <c r="DG5" s="29">
        <v>0.5</v>
      </c>
      <c r="DH5" s="29">
        <v>0.05</v>
      </c>
      <c r="DI5" s="29">
        <v>0.645</v>
      </c>
      <c r="DJ5" s="29">
        <v>0.545</v>
      </c>
      <c r="DK5" s="29">
        <v>0.061</v>
      </c>
      <c r="DL5" s="29">
        <v>0.963</v>
      </c>
      <c r="DM5" s="29" t="s">
        <v>54</v>
      </c>
      <c r="DN5" s="29" t="s">
        <v>111</v>
      </c>
      <c r="DO5" s="29" t="s">
        <v>112</v>
      </c>
      <c r="DP5" s="32" t="s">
        <v>113</v>
      </c>
      <c r="DQ5" s="29">
        <v>0.201</v>
      </c>
      <c r="DR5" s="29">
        <v>0.769</v>
      </c>
      <c r="DS5" s="29">
        <v>0.782</v>
      </c>
      <c r="DT5" s="29">
        <v>0.424</v>
      </c>
      <c r="DU5" s="29">
        <v>0.229</v>
      </c>
      <c r="DZ5" s="33">
        <f t="shared" ref="DZ5:ED5" si="1">IFERROR(AVERAGE(IFERROR(VALUE(C5),""),IFERROR(VALUE(H5),""),IFERROR(VALUE(M5),""),IFERROR(VALUE(R5),""),IFERROR(VALUE(W5),""),IFERROR(VALUE(AB5),"")),"")</f>
        <v>0.7245</v>
      </c>
      <c r="EA5" s="34">
        <f t="shared" si="1"/>
        <v>0.7386666667</v>
      </c>
      <c r="EB5" s="35">
        <f t="shared" si="1"/>
        <v>0.612</v>
      </c>
      <c r="EC5" s="36">
        <f t="shared" si="1"/>
        <v>0.5038333333</v>
      </c>
      <c r="ED5" s="37">
        <f t="shared" si="1"/>
        <v>0.2546666667</v>
      </c>
      <c r="EE5" s="33">
        <f t="shared" ref="EE5:EG5" si="2">IFERROR(AVERAGE(IFERROR(VALUE(AG5),""),IFERROR(VALUE(AJ5),""),IFERROR(VALUE(AM5),""),IFERROR(VALUE(AP5),""),IFERROR(VALUE(AS5),"")),"")</f>
        <v>0.3392</v>
      </c>
      <c r="EF5" s="38">
        <f t="shared" si="2"/>
        <v>0.692</v>
      </c>
      <c r="EG5" s="39">
        <f t="shared" si="2"/>
        <v>0.6196</v>
      </c>
      <c r="EH5" s="38">
        <v>0.675</v>
      </c>
      <c r="EI5" s="40">
        <v>0.791</v>
      </c>
      <c r="EJ5" s="19" t="str">
        <f t="shared" ref="EJ5:EJ10" si="8">IFERROR(AVERAGE(IFERROR(VALUE(BT5),""),IFERROR(VALUE(BY5),""),IFERROR(VALUE(CH5),"")),"")</f>
        <v/>
      </c>
      <c r="EK5" s="41">
        <f t="shared" ref="EK5:EK8" si="9">IFERROR(AVERAGE(IFERROR(VALUE(BZ5),""),IFERROR(VALUE(CD5),""),IFERROR(VALUE(CI5),""),IFERROR(VALUE(CM5),"")),"")</f>
        <v>0.755265816</v>
      </c>
      <c r="EL5" s="42">
        <f t="shared" ref="EL5:EL10" si="10">IFERROR(AVERAGE(IFERROR(VALUE(CA5),""),IFERROR(VALUE(CE5),""),IFERROR(VALUE(CJ5),""), IFERROR(VALUE(CN5),"")),"")</f>
        <v>0.7271891616</v>
      </c>
      <c r="EM5" s="35">
        <f t="shared" ref="EM5:EM8" si="11">IFERROR(AVERAGE(IFERROR(VALUE(CB5),""),IFERROR(VALUE(CF5),""),IFERROR(VALUE(CK5),""),IFERROR(VALUE(CO5),"")),"")</f>
        <v>0.4853269938</v>
      </c>
      <c r="EN5" s="43">
        <f t="shared" ref="EN5:EN10" si="12">IFERROR(AVERAGE(IFERROR(VALUE(CC5),""),IFERROR(VALUE(CG5),""),IFERROR(VALUE(CL5),""), IFERROR(VALUE(CP5),"")),"")</f>
        <v>0.2785047412</v>
      </c>
      <c r="EO5" s="44">
        <v>0.963</v>
      </c>
      <c r="EP5" s="45">
        <f t="shared" ref="EP5:EQ5" si="3">IFERROR(AVERAGE(IFERROR(VALUE(CQ5),""),IFERROR(VALUE(CX5),""),IFERROR(VALUE(DE5),""),IFERROR(VALUE(DM5),"")),"")</f>
        <v>0.829</v>
      </c>
      <c r="EQ5" s="46">
        <f t="shared" si="3"/>
        <v>0.916</v>
      </c>
      <c r="ER5" s="47">
        <f t="shared" ref="ER5:ES5" si="4">IFERROR(AVERAGE(IFERROR(VALUE(CU5),""),IFERROR(VALUE(DB5),""),IFERROR(VALUE(DI5),""),IFERROR(VALUE(DO5),"")),"")</f>
        <v>0.6395</v>
      </c>
      <c r="ES5" s="48">
        <f t="shared" si="4"/>
        <v>0.51175</v>
      </c>
      <c r="ET5" s="49">
        <f t="shared" ref="ET5:EU5" si="5">IFERROR(AVERAGE(IFERROR(VALUE(CS5),""),IFERROR(VALUE(CZ5),""),IFERROR(VALUE(DG5),"")),"")</f>
        <v>0.5443333333</v>
      </c>
      <c r="EU5" s="50">
        <f t="shared" si="5"/>
        <v>0.1526666667</v>
      </c>
      <c r="EV5" s="51">
        <v>0.601</v>
      </c>
      <c r="EW5" s="51">
        <v>0.101</v>
      </c>
    </row>
    <row r="6">
      <c r="A6" s="52"/>
      <c r="B6" s="53" t="s">
        <v>114</v>
      </c>
      <c r="C6" s="25">
        <v>0.903</v>
      </c>
      <c r="D6" s="26" t="s">
        <v>115</v>
      </c>
      <c r="E6" s="26" t="s">
        <v>116</v>
      </c>
      <c r="F6" s="26" t="s">
        <v>117</v>
      </c>
      <c r="G6" s="26" t="s">
        <v>118</v>
      </c>
      <c r="H6" s="26">
        <v>0.359</v>
      </c>
      <c r="I6" s="26" t="s">
        <v>119</v>
      </c>
      <c r="J6" s="26" t="s">
        <v>120</v>
      </c>
      <c r="K6" s="26" t="s">
        <v>121</v>
      </c>
      <c r="L6" s="26" t="s">
        <v>122</v>
      </c>
      <c r="M6" s="26">
        <v>0.81</v>
      </c>
      <c r="N6" s="26" t="s">
        <v>62</v>
      </c>
      <c r="O6" s="26" t="s">
        <v>123</v>
      </c>
      <c r="P6" s="26" t="s">
        <v>121</v>
      </c>
      <c r="Q6" s="26" t="s">
        <v>122</v>
      </c>
      <c r="R6" s="26">
        <v>0.705</v>
      </c>
      <c r="S6" s="26" t="s">
        <v>124</v>
      </c>
      <c r="T6" s="26" t="s">
        <v>125</v>
      </c>
      <c r="U6" s="26" t="s">
        <v>126</v>
      </c>
      <c r="V6" s="26" t="s">
        <v>127</v>
      </c>
      <c r="W6" s="26">
        <v>0.935</v>
      </c>
      <c r="X6" s="26" t="s">
        <v>128</v>
      </c>
      <c r="Y6" s="26" t="s">
        <v>85</v>
      </c>
      <c r="Z6" s="26" t="s">
        <v>129</v>
      </c>
      <c r="AA6" s="26" t="s">
        <v>126</v>
      </c>
      <c r="AB6" s="26">
        <v>0.93</v>
      </c>
      <c r="AC6" s="26" t="s">
        <v>130</v>
      </c>
      <c r="AD6" s="26" t="s">
        <v>131</v>
      </c>
      <c r="AE6" s="26" t="s">
        <v>132</v>
      </c>
      <c r="AF6" s="27" t="s">
        <v>133</v>
      </c>
      <c r="AG6" s="26">
        <v>0.525</v>
      </c>
      <c r="AH6" s="26" t="s">
        <v>63</v>
      </c>
      <c r="AI6" s="26" t="s">
        <v>134</v>
      </c>
      <c r="AJ6" s="26">
        <v>0.11</v>
      </c>
      <c r="AK6" s="26" t="s">
        <v>135</v>
      </c>
      <c r="AL6" s="26" t="s">
        <v>136</v>
      </c>
      <c r="AM6" s="26">
        <v>0.544</v>
      </c>
      <c r="AN6" s="26" t="s">
        <v>137</v>
      </c>
      <c r="AO6" s="26" t="s">
        <v>138</v>
      </c>
      <c r="AP6" s="26">
        <v>0.351</v>
      </c>
      <c r="AQ6" s="26" t="s">
        <v>139</v>
      </c>
      <c r="AR6" s="26" t="s">
        <v>140</v>
      </c>
      <c r="AS6" s="26">
        <v>0.373</v>
      </c>
      <c r="AT6" s="26" t="s">
        <v>141</v>
      </c>
      <c r="AU6" s="26" t="s">
        <v>142</v>
      </c>
      <c r="AV6" s="28">
        <v>0.157</v>
      </c>
      <c r="AW6" s="26" t="s">
        <v>143</v>
      </c>
      <c r="AX6" s="26" t="s">
        <v>144</v>
      </c>
      <c r="AY6" s="29">
        <v>0.07</v>
      </c>
      <c r="AZ6" s="26" t="s">
        <v>94</v>
      </c>
      <c r="BA6" s="26" t="s">
        <v>145</v>
      </c>
      <c r="BB6" s="29">
        <v>0.095</v>
      </c>
      <c r="BC6" s="26" t="s">
        <v>146</v>
      </c>
      <c r="BD6" s="26" t="s">
        <v>147</v>
      </c>
      <c r="BE6" s="29">
        <v>0.248</v>
      </c>
      <c r="BF6" s="26" t="s">
        <v>148</v>
      </c>
      <c r="BG6" s="26" t="s">
        <v>128</v>
      </c>
      <c r="BH6" s="29">
        <v>0.105</v>
      </c>
      <c r="BI6" s="26" t="s">
        <v>149</v>
      </c>
      <c r="BJ6" s="26" t="s">
        <v>150</v>
      </c>
      <c r="BK6" s="29">
        <v>0.109</v>
      </c>
      <c r="BL6" s="29">
        <v>0.751</v>
      </c>
      <c r="BM6" s="29">
        <v>0.826</v>
      </c>
      <c r="BN6" s="29">
        <v>0.116</v>
      </c>
      <c r="BO6" s="29">
        <v>0.753</v>
      </c>
      <c r="BP6" s="29">
        <v>0.851</v>
      </c>
      <c r="BQ6" s="26"/>
      <c r="BR6" s="26"/>
      <c r="BS6" s="27"/>
      <c r="BT6" s="26">
        <v>0.907</v>
      </c>
      <c r="BU6" s="26" t="s">
        <v>151</v>
      </c>
      <c r="BV6" s="26" t="s">
        <v>140</v>
      </c>
      <c r="BW6" s="26" t="s">
        <v>152</v>
      </c>
      <c r="BX6" s="26" t="s">
        <v>153</v>
      </c>
      <c r="BY6" s="26">
        <v>0.872</v>
      </c>
      <c r="BZ6" s="26" t="s">
        <v>154</v>
      </c>
      <c r="CA6" s="26" t="s">
        <v>155</v>
      </c>
      <c r="CB6" s="26" t="s">
        <v>156</v>
      </c>
      <c r="CC6" s="26" t="s">
        <v>157</v>
      </c>
      <c r="CD6" s="26" t="s">
        <v>158</v>
      </c>
      <c r="CE6" s="26" t="s">
        <v>159</v>
      </c>
      <c r="CF6" s="26" t="s">
        <v>160</v>
      </c>
      <c r="CG6" s="26" t="s">
        <v>161</v>
      </c>
      <c r="CH6" s="29">
        <v>0.9534764826</v>
      </c>
      <c r="CI6" s="29">
        <v>0.8484262057</v>
      </c>
      <c r="CJ6" s="29">
        <v>0.9271472393</v>
      </c>
      <c r="CK6" s="29">
        <v>0.6531327392</v>
      </c>
      <c r="CL6" s="29">
        <v>0.3624503196</v>
      </c>
      <c r="CM6" s="31">
        <v>0.697</v>
      </c>
      <c r="CN6" s="31">
        <v>0.753</v>
      </c>
      <c r="CO6" s="31">
        <v>0.409</v>
      </c>
      <c r="CP6" s="31">
        <v>0.153</v>
      </c>
      <c r="CQ6" s="28">
        <v>0.924</v>
      </c>
      <c r="CR6" s="29">
        <v>0.985</v>
      </c>
      <c r="CS6" s="29">
        <v>0.536</v>
      </c>
      <c r="CT6" s="29">
        <v>0.086</v>
      </c>
      <c r="CU6" s="29">
        <v>0.891</v>
      </c>
      <c r="CV6" s="29">
        <v>0.818</v>
      </c>
      <c r="CW6" s="29">
        <v>0.18</v>
      </c>
      <c r="CX6" s="29">
        <v>0.929</v>
      </c>
      <c r="CY6" s="29">
        <v>0.98</v>
      </c>
      <c r="CZ6" s="29">
        <v>0.7</v>
      </c>
      <c r="DA6" s="29">
        <v>0.305</v>
      </c>
      <c r="DB6" s="29">
        <v>0.875</v>
      </c>
      <c r="DC6" s="29">
        <v>0.749</v>
      </c>
      <c r="DD6" s="29">
        <v>0.263</v>
      </c>
      <c r="DE6" s="29">
        <v>0.845</v>
      </c>
      <c r="DF6" s="29">
        <v>0.933</v>
      </c>
      <c r="DG6" s="29">
        <v>0.486</v>
      </c>
      <c r="DH6" s="29">
        <v>0.034</v>
      </c>
      <c r="DI6" s="29">
        <v>0.697</v>
      </c>
      <c r="DJ6" s="29">
        <v>0.559</v>
      </c>
      <c r="DK6" s="29">
        <v>0.093</v>
      </c>
      <c r="DL6" s="29">
        <v>0.985</v>
      </c>
      <c r="DM6" s="29" t="s">
        <v>162</v>
      </c>
      <c r="DN6" s="29" t="s">
        <v>163</v>
      </c>
      <c r="DO6" s="29" t="s">
        <v>164</v>
      </c>
      <c r="DP6" s="32" t="s">
        <v>165</v>
      </c>
      <c r="DQ6" s="29">
        <v>0.228</v>
      </c>
      <c r="DR6" s="29">
        <v>0.808</v>
      </c>
      <c r="DS6" s="29">
        <v>0.871</v>
      </c>
      <c r="DT6" s="29">
        <v>0.527</v>
      </c>
      <c r="DU6" s="29">
        <v>0.355</v>
      </c>
      <c r="DZ6" s="54">
        <f t="shared" ref="DZ6:ED6" si="6">IFERROR(AVERAGE(IFERROR(VALUE(C6),""),IFERROR(VALUE(H6),""),IFERROR(VALUE(M6),""),IFERROR(VALUE(R6),""),IFERROR(VALUE(W6),""),IFERROR(VALUE(AB6),"")),"")</f>
        <v>0.7736666667</v>
      </c>
      <c r="EA6" s="38">
        <f t="shared" si="6"/>
        <v>0.7341666667</v>
      </c>
      <c r="EB6" s="55">
        <f t="shared" si="6"/>
        <v>0.6465</v>
      </c>
      <c r="EC6" s="56">
        <f t="shared" si="6"/>
        <v>0.5421666667</v>
      </c>
      <c r="ED6" s="57">
        <f t="shared" si="6"/>
        <v>0.2046666667</v>
      </c>
      <c r="EE6" s="58">
        <f t="shared" ref="EE6:EG6" si="7">IFERROR(AVERAGE(IFERROR(VALUE(AG6),""),IFERROR(VALUE(AJ6),""),IFERROR(VALUE(AM6),""),IFERROR(VALUE(AP6),""),IFERROR(VALUE(AS6),"")),"")</f>
        <v>0.3806</v>
      </c>
      <c r="EF6" s="59">
        <f t="shared" si="7"/>
        <v>0.7216</v>
      </c>
      <c r="EG6" s="60">
        <f t="shared" si="7"/>
        <v>0.6542</v>
      </c>
      <c r="EH6" s="55">
        <v>0.686</v>
      </c>
      <c r="EI6" s="61">
        <v>0.813</v>
      </c>
      <c r="EJ6" s="62">
        <f t="shared" si="8"/>
        <v>0.9108254942</v>
      </c>
      <c r="EK6" s="38">
        <f t="shared" si="9"/>
        <v>0.7751065514</v>
      </c>
      <c r="EL6" s="63">
        <f t="shared" si="10"/>
        <v>0.7767868098</v>
      </c>
      <c r="EM6" s="34">
        <f t="shared" si="11"/>
        <v>0.4977831848</v>
      </c>
      <c r="EN6" s="64">
        <f t="shared" si="12"/>
        <v>0.2393625799</v>
      </c>
      <c r="EO6" s="65">
        <v>0.985</v>
      </c>
      <c r="EP6" s="66">
        <f t="shared" ref="EP6:EQ6" si="13">IFERROR(AVERAGE(IFERROR(VALUE(CQ6),""),IFERROR(VALUE(CX6),""),IFERROR(VALUE(DE6),""),IFERROR(VALUE(DM6),"")),"")</f>
        <v>0.88125</v>
      </c>
      <c r="EQ6" s="67">
        <f t="shared" si="13"/>
        <v>0.95725</v>
      </c>
      <c r="ER6" s="68">
        <f t="shared" ref="ER6:ES6" si="14">IFERROR(AVERAGE(IFERROR(VALUE(CU6),""),IFERROR(VALUE(DB6),""),IFERROR(VALUE(DI6),""),IFERROR(VALUE(DO6),"")),"")</f>
        <v>0.77575</v>
      </c>
      <c r="ES6" s="69">
        <f t="shared" si="14"/>
        <v>0.679</v>
      </c>
      <c r="ET6" s="70">
        <f t="shared" ref="ET6:EU6" si="15">IFERROR(AVERAGE(IFERROR(VALUE(CS6),""),IFERROR(VALUE(CZ6),""),IFERROR(VALUE(DG6),"")),"")</f>
        <v>0.574</v>
      </c>
      <c r="EU6" s="71">
        <f t="shared" si="15"/>
        <v>0.1416666667</v>
      </c>
      <c r="EV6" s="51">
        <v>0.637</v>
      </c>
      <c r="EW6" s="51">
        <v>0.129</v>
      </c>
    </row>
    <row r="7">
      <c r="A7" s="52"/>
      <c r="B7" s="53" t="s">
        <v>166</v>
      </c>
      <c r="C7" s="25">
        <v>0.85</v>
      </c>
      <c r="D7" s="26" t="s">
        <v>167</v>
      </c>
      <c r="E7" s="26" t="s">
        <v>168</v>
      </c>
      <c r="F7" s="26" t="s">
        <v>169</v>
      </c>
      <c r="G7" s="26" t="s">
        <v>170</v>
      </c>
      <c r="H7" s="26">
        <v>0.247</v>
      </c>
      <c r="I7" s="26" t="s">
        <v>171</v>
      </c>
      <c r="J7" s="26" t="s">
        <v>172</v>
      </c>
      <c r="K7" s="26" t="s">
        <v>173</v>
      </c>
      <c r="L7" s="26" t="s">
        <v>174</v>
      </c>
      <c r="M7" s="26">
        <v>0.778</v>
      </c>
      <c r="N7" s="26" t="s">
        <v>175</v>
      </c>
      <c r="O7" s="26" t="s">
        <v>176</v>
      </c>
      <c r="P7" s="26" t="s">
        <v>177</v>
      </c>
      <c r="Q7" s="26" t="s">
        <v>178</v>
      </c>
      <c r="R7" s="26">
        <v>0.635</v>
      </c>
      <c r="S7" s="26" t="s">
        <v>179</v>
      </c>
      <c r="T7" s="26" t="s">
        <v>180</v>
      </c>
      <c r="U7" s="26" t="s">
        <v>73</v>
      </c>
      <c r="V7" s="26" t="s">
        <v>181</v>
      </c>
      <c r="W7" s="26">
        <v>0.705</v>
      </c>
      <c r="X7" s="26" t="s">
        <v>169</v>
      </c>
      <c r="Y7" s="26" t="s">
        <v>182</v>
      </c>
      <c r="Z7" s="26" t="s">
        <v>183</v>
      </c>
      <c r="AA7" s="26" t="s">
        <v>184</v>
      </c>
      <c r="AB7" s="26">
        <v>0.858</v>
      </c>
      <c r="AC7" s="26" t="s">
        <v>185</v>
      </c>
      <c r="AD7" s="26" t="s">
        <v>186</v>
      </c>
      <c r="AE7" s="26" t="s">
        <v>187</v>
      </c>
      <c r="AF7" s="27" t="s">
        <v>188</v>
      </c>
      <c r="AG7" s="26">
        <v>0.403</v>
      </c>
      <c r="AH7" s="26" t="s">
        <v>189</v>
      </c>
      <c r="AI7" s="26" t="s">
        <v>190</v>
      </c>
      <c r="AJ7" s="26">
        <v>0.077</v>
      </c>
      <c r="AK7" s="26" t="s">
        <v>191</v>
      </c>
      <c r="AL7" s="26" t="s">
        <v>192</v>
      </c>
      <c r="AM7" s="26">
        <v>0.475</v>
      </c>
      <c r="AN7" s="26" t="s">
        <v>121</v>
      </c>
      <c r="AO7" s="26" t="s">
        <v>193</v>
      </c>
      <c r="AP7" s="26">
        <v>0.041</v>
      </c>
      <c r="AQ7" s="26" t="s">
        <v>194</v>
      </c>
      <c r="AR7" s="26" t="s">
        <v>96</v>
      </c>
      <c r="AS7" s="26">
        <v>0.265</v>
      </c>
      <c r="AT7" s="26" t="s">
        <v>190</v>
      </c>
      <c r="AU7" s="26" t="s">
        <v>195</v>
      </c>
      <c r="AV7" s="28">
        <v>0.137</v>
      </c>
      <c r="AW7" s="26" t="s">
        <v>196</v>
      </c>
      <c r="AX7" s="26" t="s">
        <v>197</v>
      </c>
      <c r="AY7" s="29">
        <v>0.053</v>
      </c>
      <c r="AZ7" s="26" t="s">
        <v>198</v>
      </c>
      <c r="BA7" s="26" t="s">
        <v>199</v>
      </c>
      <c r="BB7" s="29">
        <v>0.064</v>
      </c>
      <c r="BC7" s="26" t="s">
        <v>200</v>
      </c>
      <c r="BD7" s="26" t="s">
        <v>201</v>
      </c>
      <c r="BE7" s="29">
        <v>0.188</v>
      </c>
      <c r="BF7" s="26" t="s">
        <v>137</v>
      </c>
      <c r="BG7" s="26" t="s">
        <v>121</v>
      </c>
      <c r="BH7" s="29">
        <v>0.094</v>
      </c>
      <c r="BI7" s="26" t="s">
        <v>202</v>
      </c>
      <c r="BJ7" s="26" t="s">
        <v>203</v>
      </c>
      <c r="BK7" s="29">
        <v>0.098</v>
      </c>
      <c r="BL7" s="29">
        <v>0.706</v>
      </c>
      <c r="BM7" s="29">
        <v>0.788</v>
      </c>
      <c r="BN7" s="29">
        <v>0.092</v>
      </c>
      <c r="BO7" s="29">
        <v>0.679</v>
      </c>
      <c r="BP7" s="29">
        <v>0.795</v>
      </c>
      <c r="BQ7" s="26"/>
      <c r="BR7" s="26"/>
      <c r="BS7" s="27"/>
      <c r="BT7" s="26">
        <v>0.545</v>
      </c>
      <c r="BU7" s="26" t="s">
        <v>204</v>
      </c>
      <c r="BV7" s="26" t="s">
        <v>205</v>
      </c>
      <c r="BW7" s="26" t="s">
        <v>206</v>
      </c>
      <c r="BX7" s="26" t="s">
        <v>207</v>
      </c>
      <c r="BY7" s="26">
        <v>0.784</v>
      </c>
      <c r="BZ7" s="26" t="s">
        <v>208</v>
      </c>
      <c r="CA7" s="26" t="s">
        <v>131</v>
      </c>
      <c r="CB7" s="26" t="s">
        <v>209</v>
      </c>
      <c r="CC7" s="26" t="s">
        <v>210</v>
      </c>
      <c r="CD7" s="26" t="s">
        <v>204</v>
      </c>
      <c r="CE7" s="26" t="s">
        <v>211</v>
      </c>
      <c r="CF7" s="26" t="s">
        <v>212</v>
      </c>
      <c r="CG7" s="26" t="s">
        <v>213</v>
      </c>
      <c r="CH7" s="29">
        <v>0.976993865</v>
      </c>
      <c r="CI7" s="29">
        <v>0.9736681475</v>
      </c>
      <c r="CJ7" s="29">
        <v>0.9915644172</v>
      </c>
      <c r="CK7" s="29">
        <v>0.870514462</v>
      </c>
      <c r="CL7" s="29">
        <v>0.6606112545</v>
      </c>
      <c r="CM7" s="31">
        <v>0.626</v>
      </c>
      <c r="CN7" s="31">
        <v>0.63</v>
      </c>
      <c r="CO7" s="72">
        <v>0.265</v>
      </c>
      <c r="CP7" s="31">
        <v>0.072</v>
      </c>
      <c r="CQ7" s="28">
        <v>0.611</v>
      </c>
      <c r="CR7" s="29">
        <v>0.75</v>
      </c>
      <c r="CS7" s="29">
        <v>0.544</v>
      </c>
      <c r="CT7" s="29">
        <v>0.121</v>
      </c>
      <c r="CU7" s="29">
        <v>0.211</v>
      </c>
      <c r="CV7" s="29">
        <v>0.05</v>
      </c>
      <c r="CW7" s="29">
        <v>0.205</v>
      </c>
      <c r="CX7" s="29">
        <v>0.891</v>
      </c>
      <c r="CY7" s="29">
        <v>0.934</v>
      </c>
      <c r="CZ7" s="29">
        <v>0.676</v>
      </c>
      <c r="DA7" s="29">
        <v>0.219</v>
      </c>
      <c r="DB7" s="29">
        <v>0.748</v>
      </c>
      <c r="DC7" s="29">
        <v>0.55</v>
      </c>
      <c r="DD7" s="29">
        <v>0.317</v>
      </c>
      <c r="DE7" s="29">
        <v>0.676</v>
      </c>
      <c r="DF7" s="29">
        <v>0.827</v>
      </c>
      <c r="DG7" s="29">
        <v>0.469</v>
      </c>
      <c r="DH7" s="29">
        <v>0.062</v>
      </c>
      <c r="DI7" s="29">
        <v>0.282</v>
      </c>
      <c r="DJ7" s="29">
        <v>0.149</v>
      </c>
      <c r="DK7" s="29">
        <v>0.058</v>
      </c>
      <c r="DL7" s="29">
        <v>0.872</v>
      </c>
      <c r="DM7" s="29" t="s">
        <v>214</v>
      </c>
      <c r="DN7" s="29" t="s">
        <v>215</v>
      </c>
      <c r="DO7" s="29" t="s">
        <v>216</v>
      </c>
      <c r="DP7" s="32" t="s">
        <v>217</v>
      </c>
      <c r="DQ7" s="29">
        <v>0.221</v>
      </c>
      <c r="DR7" s="29">
        <v>0.627</v>
      </c>
      <c r="DS7" s="29">
        <v>0.716</v>
      </c>
      <c r="DT7" s="29">
        <v>0.168</v>
      </c>
      <c r="DU7" s="29">
        <v>0.041</v>
      </c>
      <c r="DZ7" s="73">
        <f t="shared" ref="DZ7:ED7" si="16">IFERROR(AVERAGE(IFERROR(VALUE(C7),""),IFERROR(VALUE(H7),""),IFERROR(VALUE(M7),""),IFERROR(VALUE(R7),""),IFERROR(VALUE(W7),""),IFERROR(VALUE(AB7),"")),"")</f>
        <v>0.6788333333</v>
      </c>
      <c r="EA7" s="74">
        <f t="shared" si="16"/>
        <v>0.6746666667</v>
      </c>
      <c r="EB7" s="75">
        <f t="shared" si="16"/>
        <v>0.5308333333</v>
      </c>
      <c r="EC7" s="76">
        <f t="shared" si="16"/>
        <v>0.4238333333</v>
      </c>
      <c r="ED7" s="77">
        <f t="shared" si="16"/>
        <v>0.1361666667</v>
      </c>
      <c r="EE7" s="78">
        <f t="shared" ref="EE7:EG7" si="17">IFERROR(AVERAGE(IFERROR(VALUE(AG7),""),IFERROR(VALUE(AJ7),""),IFERROR(VALUE(AM7),""),IFERROR(VALUE(AP7),""),IFERROR(VALUE(AS7),"")),"")</f>
        <v>0.2522</v>
      </c>
      <c r="EF7" s="38">
        <f t="shared" si="17"/>
        <v>0.692</v>
      </c>
      <c r="EG7" s="79">
        <f t="shared" si="17"/>
        <v>0.6118</v>
      </c>
      <c r="EH7" s="80">
        <v>0.65</v>
      </c>
      <c r="EI7" s="81">
        <v>0.755</v>
      </c>
      <c r="EJ7" s="82">
        <f t="shared" si="8"/>
        <v>0.7686646217</v>
      </c>
      <c r="EK7" s="83">
        <f t="shared" si="9"/>
        <v>0.7679170369</v>
      </c>
      <c r="EL7" s="34">
        <f t="shared" si="10"/>
        <v>0.7643911043</v>
      </c>
      <c r="EM7" s="84">
        <f t="shared" si="11"/>
        <v>0.4673786155</v>
      </c>
      <c r="EN7" s="85">
        <f t="shared" si="12"/>
        <v>0.2441528136</v>
      </c>
      <c r="EO7" s="86">
        <v>0.872</v>
      </c>
      <c r="EP7" s="80">
        <f t="shared" ref="EP7:EQ7" si="18">IFERROR(AVERAGE(IFERROR(VALUE(CQ7),""),IFERROR(VALUE(CX7),""),IFERROR(VALUE(DE7),""),IFERROR(VALUE(DM7),"")),"")</f>
        <v>0.7455</v>
      </c>
      <c r="EQ7" s="42">
        <f t="shared" si="18"/>
        <v>0.865</v>
      </c>
      <c r="ER7" s="87">
        <f t="shared" ref="ER7:ES7" si="19">IFERROR(AVERAGE(IFERROR(VALUE(CU7),""),IFERROR(VALUE(DB7),""),IFERROR(VALUE(DI7),""),IFERROR(VALUE(DO7),"")),"")</f>
        <v>0.41325</v>
      </c>
      <c r="ES7" s="88">
        <f t="shared" si="19"/>
        <v>0.2535</v>
      </c>
      <c r="ET7" s="89">
        <f t="shared" ref="ET7:EU7" si="20">IFERROR(AVERAGE(IFERROR(VALUE(CS7),""),IFERROR(VALUE(CZ7),""),IFERROR(VALUE(DG7),"")),"")</f>
        <v>0.563</v>
      </c>
      <c r="EU7" s="90">
        <f t="shared" si="20"/>
        <v>0.134</v>
      </c>
      <c r="EV7" s="51">
        <v>0.623</v>
      </c>
      <c r="EW7" s="51">
        <v>0.104</v>
      </c>
    </row>
    <row r="8">
      <c r="A8" s="52"/>
      <c r="B8" s="53" t="s">
        <v>218</v>
      </c>
      <c r="C8" s="25">
        <v>0.867</v>
      </c>
      <c r="D8" s="26" t="s">
        <v>219</v>
      </c>
      <c r="E8" s="26" t="s">
        <v>62</v>
      </c>
      <c r="F8" s="26" t="s">
        <v>220</v>
      </c>
      <c r="G8" s="26" t="s">
        <v>221</v>
      </c>
      <c r="H8" s="26">
        <v>0.388</v>
      </c>
      <c r="I8" s="26" t="s">
        <v>222</v>
      </c>
      <c r="J8" s="26" t="s">
        <v>223</v>
      </c>
      <c r="K8" s="26" t="s">
        <v>224</v>
      </c>
      <c r="L8" s="26" t="s">
        <v>225</v>
      </c>
      <c r="M8" s="26">
        <v>0.782</v>
      </c>
      <c r="N8" s="26" t="s">
        <v>139</v>
      </c>
      <c r="O8" s="26" t="s">
        <v>85</v>
      </c>
      <c r="P8" s="26" t="s">
        <v>136</v>
      </c>
      <c r="Q8" s="26" t="s">
        <v>226</v>
      </c>
      <c r="R8" s="26">
        <v>0.654</v>
      </c>
      <c r="S8" s="26" t="s">
        <v>189</v>
      </c>
      <c r="T8" s="26" t="s">
        <v>227</v>
      </c>
      <c r="U8" s="26" t="s">
        <v>170</v>
      </c>
      <c r="V8" s="26" t="s">
        <v>228</v>
      </c>
      <c r="W8" s="26">
        <v>0.899</v>
      </c>
      <c r="X8" s="26" t="s">
        <v>229</v>
      </c>
      <c r="Y8" s="26" t="s">
        <v>71</v>
      </c>
      <c r="Z8" s="26" t="s">
        <v>170</v>
      </c>
      <c r="AA8" s="26" t="s">
        <v>228</v>
      </c>
      <c r="AB8" s="26">
        <v>0.958</v>
      </c>
      <c r="AC8" s="26" t="s">
        <v>230</v>
      </c>
      <c r="AD8" s="26" t="s">
        <v>75</v>
      </c>
      <c r="AE8" s="26" t="s">
        <v>134</v>
      </c>
      <c r="AF8" s="27" t="s">
        <v>231</v>
      </c>
      <c r="AG8" s="26">
        <v>0.467</v>
      </c>
      <c r="AH8" s="26" t="s">
        <v>168</v>
      </c>
      <c r="AI8" s="26" t="s">
        <v>232</v>
      </c>
      <c r="AJ8" s="26">
        <v>0.106</v>
      </c>
      <c r="AK8" s="26" t="s">
        <v>233</v>
      </c>
      <c r="AL8" s="26" t="s">
        <v>234</v>
      </c>
      <c r="AM8" s="26">
        <v>0.541</v>
      </c>
      <c r="AN8" s="26" t="s">
        <v>82</v>
      </c>
      <c r="AO8" s="26" t="s">
        <v>83</v>
      </c>
      <c r="AP8" s="26">
        <v>0.247</v>
      </c>
      <c r="AQ8" s="26" t="s">
        <v>235</v>
      </c>
      <c r="AR8" s="26" t="s">
        <v>236</v>
      </c>
      <c r="AS8" s="26">
        <v>0.43</v>
      </c>
      <c r="AT8" s="26" t="s">
        <v>237</v>
      </c>
      <c r="AU8" s="26" t="s">
        <v>238</v>
      </c>
      <c r="AV8" s="28">
        <v>0.163</v>
      </c>
      <c r="AW8" s="26" t="s">
        <v>94</v>
      </c>
      <c r="AX8" s="26" t="s">
        <v>239</v>
      </c>
      <c r="AY8" s="29">
        <v>0.066</v>
      </c>
      <c r="AZ8" s="26" t="s">
        <v>240</v>
      </c>
      <c r="BA8" s="26" t="s">
        <v>241</v>
      </c>
      <c r="BB8" s="29">
        <v>0.097</v>
      </c>
      <c r="BC8" s="26" t="s">
        <v>242</v>
      </c>
      <c r="BD8" s="26" t="s">
        <v>243</v>
      </c>
      <c r="BE8" s="29">
        <v>0.29</v>
      </c>
      <c r="BF8" s="26" t="s">
        <v>103</v>
      </c>
      <c r="BG8" s="26" t="s">
        <v>117</v>
      </c>
      <c r="BH8" s="29">
        <v>0.14</v>
      </c>
      <c r="BI8" s="26" t="s">
        <v>169</v>
      </c>
      <c r="BJ8" s="26" t="s">
        <v>244</v>
      </c>
      <c r="BK8" s="29">
        <v>0.124</v>
      </c>
      <c r="BL8" s="29">
        <v>0.724</v>
      </c>
      <c r="BM8" s="29">
        <v>0.804</v>
      </c>
      <c r="BN8" s="29">
        <v>0.124</v>
      </c>
      <c r="BO8" s="29">
        <v>0.741</v>
      </c>
      <c r="BP8" s="29">
        <v>0.835</v>
      </c>
      <c r="BQ8" s="26"/>
      <c r="BR8" s="26"/>
      <c r="BS8" s="27"/>
      <c r="BT8" s="26" t="s">
        <v>245</v>
      </c>
      <c r="BU8" s="26" t="s">
        <v>246</v>
      </c>
      <c r="BV8" s="26" t="s">
        <v>247</v>
      </c>
      <c r="BW8" s="26" t="s">
        <v>248</v>
      </c>
      <c r="BX8" s="26" t="s">
        <v>249</v>
      </c>
      <c r="BY8" s="26" t="s">
        <v>250</v>
      </c>
      <c r="BZ8" s="26" t="s">
        <v>150</v>
      </c>
      <c r="CA8" s="26" t="s">
        <v>251</v>
      </c>
      <c r="CB8" s="26" t="s">
        <v>252</v>
      </c>
      <c r="CC8" s="26" t="s">
        <v>253</v>
      </c>
      <c r="CD8" s="26" t="s">
        <v>254</v>
      </c>
      <c r="CE8" s="26" t="s">
        <v>255</v>
      </c>
      <c r="CF8" s="26" t="s">
        <v>256</v>
      </c>
      <c r="CG8" s="26" t="s">
        <v>257</v>
      </c>
      <c r="CH8" s="29">
        <v>0.9946319018</v>
      </c>
      <c r="CI8" s="29">
        <v>0.9840461934</v>
      </c>
      <c r="CJ8" s="29">
        <v>0.9882413088</v>
      </c>
      <c r="CK8" s="29">
        <v>0.8204137057</v>
      </c>
      <c r="CL8" s="29">
        <v>0.5891445092</v>
      </c>
      <c r="CM8" s="31">
        <v>0.687</v>
      </c>
      <c r="CN8" s="31">
        <v>0.721</v>
      </c>
      <c r="CO8" s="31">
        <v>0.357</v>
      </c>
      <c r="CP8" s="31">
        <v>0.126</v>
      </c>
      <c r="CQ8" s="28">
        <v>0.796</v>
      </c>
      <c r="CR8" s="29">
        <v>0.875</v>
      </c>
      <c r="CS8" s="29">
        <v>0.511</v>
      </c>
      <c r="CT8" s="29">
        <v>0.121</v>
      </c>
      <c r="CU8" s="29">
        <v>0.58</v>
      </c>
      <c r="CV8" s="29">
        <v>0.369</v>
      </c>
      <c r="CW8" s="29">
        <v>0.245</v>
      </c>
      <c r="CX8" s="29">
        <v>0.896</v>
      </c>
      <c r="CY8" s="29">
        <v>0.968</v>
      </c>
      <c r="CZ8" s="29">
        <v>0.714</v>
      </c>
      <c r="DA8" s="29">
        <v>0.296</v>
      </c>
      <c r="DB8" s="29">
        <v>0.809</v>
      </c>
      <c r="DC8" s="29">
        <v>0.67</v>
      </c>
      <c r="DD8" s="29">
        <v>0.391</v>
      </c>
      <c r="DE8" s="29">
        <v>0.79</v>
      </c>
      <c r="DF8" s="29">
        <v>0.875</v>
      </c>
      <c r="DG8" s="29">
        <v>0.456</v>
      </c>
      <c r="DH8" s="29">
        <v>0.037</v>
      </c>
      <c r="DI8" s="29">
        <v>0.558</v>
      </c>
      <c r="DJ8" s="29">
        <v>0.374</v>
      </c>
      <c r="DK8" s="29">
        <v>0.054</v>
      </c>
      <c r="DL8" s="29">
        <v>0.981</v>
      </c>
      <c r="DM8" s="29" t="s">
        <v>158</v>
      </c>
      <c r="DN8" s="29" t="s">
        <v>258</v>
      </c>
      <c r="DO8" s="29" t="s">
        <v>259</v>
      </c>
      <c r="DP8" s="32" t="s">
        <v>260</v>
      </c>
      <c r="DQ8" s="29">
        <v>0.155</v>
      </c>
      <c r="DR8" s="29">
        <v>0.75</v>
      </c>
      <c r="DS8" s="29">
        <v>0.805</v>
      </c>
      <c r="DT8" s="29">
        <v>0.408</v>
      </c>
      <c r="DU8" s="29">
        <v>0.233</v>
      </c>
      <c r="DZ8" s="91">
        <f t="shared" ref="DZ8:ED8" si="21">IFERROR(AVERAGE(IFERROR(VALUE(C8),""),IFERROR(VALUE(H8),""),IFERROR(VALUE(M8),""),IFERROR(VALUE(R8),""),IFERROR(VALUE(W8),""),IFERROR(VALUE(AB8),"")),"")</f>
        <v>0.758</v>
      </c>
      <c r="EA8" s="92">
        <f t="shared" si="21"/>
        <v>0.7483333333</v>
      </c>
      <c r="EB8" s="34">
        <f t="shared" si="21"/>
        <v>0.6246666667</v>
      </c>
      <c r="EC8" s="83">
        <f t="shared" si="21"/>
        <v>0.4781666667</v>
      </c>
      <c r="ED8" s="93">
        <f t="shared" si="21"/>
        <v>0.2418333333</v>
      </c>
      <c r="EE8" s="94">
        <f t="shared" ref="EE8:EG8" si="22">IFERROR(AVERAGE(IFERROR(VALUE(AG8),""),IFERROR(VALUE(AJ8),""),IFERROR(VALUE(AM8),""),IFERROR(VALUE(AP8),""),IFERROR(VALUE(AS8),"")),"")</f>
        <v>0.3582</v>
      </c>
      <c r="EF8" s="95">
        <f t="shared" si="22"/>
        <v>0.7136</v>
      </c>
      <c r="EG8" s="96">
        <f t="shared" si="22"/>
        <v>0.6424</v>
      </c>
      <c r="EH8" s="34">
        <v>0.676</v>
      </c>
      <c r="EI8" s="97">
        <v>0.81</v>
      </c>
      <c r="EJ8" s="19" t="str">
        <f t="shared" si="8"/>
        <v/>
      </c>
      <c r="EK8" s="49">
        <f t="shared" si="9"/>
        <v>0.8170115484</v>
      </c>
      <c r="EL8" s="98">
        <f t="shared" si="10"/>
        <v>0.7913103272</v>
      </c>
      <c r="EM8" s="99">
        <f t="shared" si="11"/>
        <v>0.5273534264</v>
      </c>
      <c r="EN8" s="100">
        <f t="shared" si="12"/>
        <v>0.3070361273</v>
      </c>
      <c r="EO8" s="101">
        <v>0.981</v>
      </c>
      <c r="EP8" s="102">
        <f t="shared" ref="EP8:EQ8" si="23">IFERROR(AVERAGE(IFERROR(VALUE(CQ8),""),IFERROR(VALUE(CX8),""),IFERROR(VALUE(DE8),""),IFERROR(VALUE(DM8),"")),"")</f>
        <v>0.8325</v>
      </c>
      <c r="EQ8" s="103">
        <f t="shared" si="23"/>
        <v>0.91925</v>
      </c>
      <c r="ER8" s="104">
        <f t="shared" ref="ER8:ES8" si="24">IFERROR(AVERAGE(IFERROR(VALUE(CU8),""),IFERROR(VALUE(DB8),""),IFERROR(VALUE(DI8),""),IFERROR(VALUE(DO8),"")),"")</f>
        <v>0.6465</v>
      </c>
      <c r="ES8" s="105">
        <f t="shared" si="24"/>
        <v>0.502</v>
      </c>
      <c r="ET8" s="106">
        <f t="shared" ref="ET8:EU8" si="25">IFERROR(AVERAGE(IFERROR(VALUE(CS8),""),IFERROR(VALUE(CZ8),""),IFERROR(VALUE(DG8),"")),"")</f>
        <v>0.5603333333</v>
      </c>
      <c r="EU8" s="107">
        <f t="shared" si="25"/>
        <v>0.1513333333</v>
      </c>
      <c r="EV8" s="51">
        <v>0.632</v>
      </c>
      <c r="EW8" s="51">
        <v>0.143</v>
      </c>
    </row>
    <row r="9">
      <c r="A9" s="52"/>
      <c r="B9" s="53" t="s">
        <v>261</v>
      </c>
      <c r="C9" s="25">
        <v>0.852</v>
      </c>
      <c r="D9" s="26" t="s">
        <v>143</v>
      </c>
      <c r="E9" s="26" t="s">
        <v>262</v>
      </c>
      <c r="F9" s="26" t="s">
        <v>263</v>
      </c>
      <c r="G9" s="26" t="s">
        <v>68</v>
      </c>
      <c r="H9" s="26">
        <v>0.318</v>
      </c>
      <c r="I9" s="26" t="s">
        <v>220</v>
      </c>
      <c r="J9" s="26" t="s">
        <v>264</v>
      </c>
      <c r="K9" s="26" t="s">
        <v>265</v>
      </c>
      <c r="L9" s="26" t="s">
        <v>266</v>
      </c>
      <c r="M9" s="26">
        <v>0.769</v>
      </c>
      <c r="N9" s="26" t="s">
        <v>267</v>
      </c>
      <c r="O9" s="26" t="s">
        <v>268</v>
      </c>
      <c r="P9" s="26" t="s">
        <v>269</v>
      </c>
      <c r="Q9" s="26" t="s">
        <v>270</v>
      </c>
      <c r="R9" s="26">
        <v>0.6615</v>
      </c>
      <c r="S9" s="26" t="s">
        <v>271</v>
      </c>
      <c r="T9" s="26" t="s">
        <v>272</v>
      </c>
      <c r="U9" s="26" t="s">
        <v>273</v>
      </c>
      <c r="V9" s="26" t="s">
        <v>274</v>
      </c>
      <c r="W9" s="26">
        <v>0.77</v>
      </c>
      <c r="X9" s="26" t="s">
        <v>169</v>
      </c>
      <c r="Y9" s="26" t="s">
        <v>275</v>
      </c>
      <c r="Z9" s="26" t="s">
        <v>276</v>
      </c>
      <c r="AA9" s="26" t="s">
        <v>277</v>
      </c>
      <c r="AB9" s="26">
        <v>0.858</v>
      </c>
      <c r="AC9" s="26" t="s">
        <v>116</v>
      </c>
      <c r="AD9" s="26" t="s">
        <v>278</v>
      </c>
      <c r="AE9" s="26" t="s">
        <v>279</v>
      </c>
      <c r="AF9" s="27" t="s">
        <v>280</v>
      </c>
      <c r="AG9" s="26">
        <v>0.465</v>
      </c>
      <c r="AH9" s="26" t="s">
        <v>281</v>
      </c>
      <c r="AI9" s="26" t="s">
        <v>111</v>
      </c>
      <c r="AJ9" s="26">
        <v>0.111</v>
      </c>
      <c r="AK9" s="72">
        <v>0.711</v>
      </c>
      <c r="AL9" s="72">
        <v>0.293</v>
      </c>
      <c r="AM9" s="26">
        <v>0.472</v>
      </c>
      <c r="AN9" s="26" t="s">
        <v>282</v>
      </c>
      <c r="AO9" s="26" t="s">
        <v>283</v>
      </c>
      <c r="AP9" s="26">
        <v>0.344</v>
      </c>
      <c r="AQ9" s="26" t="s">
        <v>284</v>
      </c>
      <c r="AR9" s="26" t="s">
        <v>285</v>
      </c>
      <c r="AS9" s="26">
        <v>0.309</v>
      </c>
      <c r="AT9" s="26" t="s">
        <v>286</v>
      </c>
      <c r="AU9" s="26" t="s">
        <v>287</v>
      </c>
      <c r="AV9" s="28">
        <v>0.142</v>
      </c>
      <c r="AW9" s="26" t="s">
        <v>119</v>
      </c>
      <c r="AX9" s="26" t="s">
        <v>288</v>
      </c>
      <c r="AY9" s="29">
        <v>0.044</v>
      </c>
      <c r="AZ9" s="26" t="s">
        <v>289</v>
      </c>
      <c r="BA9" s="26" t="s">
        <v>290</v>
      </c>
      <c r="BB9" s="29">
        <v>0.05</v>
      </c>
      <c r="BC9" s="26" t="s">
        <v>291</v>
      </c>
      <c r="BD9" s="26" t="s">
        <v>244</v>
      </c>
      <c r="BE9" s="29">
        <v>0.196</v>
      </c>
      <c r="BF9" s="26" t="s">
        <v>189</v>
      </c>
      <c r="BG9" s="26" t="s">
        <v>292</v>
      </c>
      <c r="BH9" s="29">
        <v>0.05</v>
      </c>
      <c r="BI9" s="26" t="s">
        <v>263</v>
      </c>
      <c r="BJ9" s="26" t="s">
        <v>189</v>
      </c>
      <c r="BK9" s="29">
        <v>0.081</v>
      </c>
      <c r="BL9" s="29">
        <v>0.74</v>
      </c>
      <c r="BM9" s="29">
        <v>0.776</v>
      </c>
      <c r="BN9" s="29">
        <v>0.082</v>
      </c>
      <c r="BO9" s="29">
        <v>0.714</v>
      </c>
      <c r="BP9" s="29">
        <v>0.82</v>
      </c>
      <c r="BQ9" s="26"/>
      <c r="BR9" s="26"/>
      <c r="BS9" s="27"/>
      <c r="BT9" s="26">
        <v>0.89</v>
      </c>
      <c r="BU9" s="26" t="s">
        <v>293</v>
      </c>
      <c r="BV9" s="26" t="s">
        <v>88</v>
      </c>
      <c r="BW9" s="26" t="s">
        <v>294</v>
      </c>
      <c r="BX9" s="26" t="s">
        <v>295</v>
      </c>
      <c r="BY9" s="26">
        <v>0.927</v>
      </c>
      <c r="BZ9" s="26" t="s">
        <v>194</v>
      </c>
      <c r="CA9" s="26" t="s">
        <v>291</v>
      </c>
      <c r="CB9" s="26" t="s">
        <v>296</v>
      </c>
      <c r="CC9" s="26" t="s">
        <v>297</v>
      </c>
      <c r="CD9" s="26" t="s">
        <v>298</v>
      </c>
      <c r="CE9" s="26" t="s">
        <v>299</v>
      </c>
      <c r="CF9" s="31">
        <v>0.484</v>
      </c>
      <c r="CG9" s="26" t="s">
        <v>300</v>
      </c>
      <c r="CH9" s="31">
        <v>0.992</v>
      </c>
      <c r="CI9" s="72">
        <v>0.872</v>
      </c>
      <c r="CJ9" s="31">
        <v>0.987</v>
      </c>
      <c r="CK9" s="31">
        <v>0.757</v>
      </c>
      <c r="CL9" s="31">
        <v>0.498</v>
      </c>
      <c r="CM9" s="31">
        <v>0.621</v>
      </c>
      <c r="CN9" s="31">
        <v>0.661</v>
      </c>
      <c r="CO9" s="31">
        <v>0.318</v>
      </c>
      <c r="CP9" s="31">
        <v>0.089</v>
      </c>
      <c r="CQ9" s="28">
        <v>0.684</v>
      </c>
      <c r="CR9" s="29">
        <v>0.825</v>
      </c>
      <c r="CS9" s="29">
        <v>0.521</v>
      </c>
      <c r="CT9" s="29">
        <v>0.117</v>
      </c>
      <c r="CU9" s="29">
        <v>0.374</v>
      </c>
      <c r="CV9" s="29">
        <v>0.181</v>
      </c>
      <c r="CW9" s="29">
        <v>0.23</v>
      </c>
      <c r="CX9" s="29">
        <v>0.875</v>
      </c>
      <c r="CY9" s="29">
        <v>0.943</v>
      </c>
      <c r="CZ9" s="29">
        <v>0.634</v>
      </c>
      <c r="DA9" s="29">
        <v>0.192</v>
      </c>
      <c r="DB9" s="29">
        <v>0.794</v>
      </c>
      <c r="DC9" s="29">
        <v>0.656</v>
      </c>
      <c r="DD9" s="29">
        <v>0.292</v>
      </c>
      <c r="DE9" s="29">
        <v>0.654</v>
      </c>
      <c r="DF9" s="29">
        <v>0.738</v>
      </c>
      <c r="DG9" s="29">
        <v>0.492</v>
      </c>
      <c r="DH9" s="29">
        <v>0.084</v>
      </c>
      <c r="DI9" s="29">
        <v>0.243</v>
      </c>
      <c r="DJ9" s="29">
        <v>0.113</v>
      </c>
      <c r="DK9" s="29">
        <v>0.118</v>
      </c>
      <c r="DL9" s="29">
        <v>0.967</v>
      </c>
      <c r="DM9" s="29" t="s">
        <v>301</v>
      </c>
      <c r="DN9" s="29" t="s">
        <v>302</v>
      </c>
      <c r="DO9" s="29" t="s">
        <v>303</v>
      </c>
      <c r="DP9" s="32" t="s">
        <v>304</v>
      </c>
      <c r="DQ9" s="29">
        <v>0.35</v>
      </c>
      <c r="DR9" s="29">
        <v>0.622</v>
      </c>
      <c r="DS9" s="29">
        <v>0.706</v>
      </c>
      <c r="DT9" s="29">
        <v>0.151</v>
      </c>
      <c r="DU9" s="29">
        <v>0.038</v>
      </c>
      <c r="DZ9" s="108">
        <f t="shared" ref="DZ9:ED9" si="26">IFERROR(AVERAGE(IFERROR(VALUE(C9),""),IFERROR(VALUE(H9),""),IFERROR(VALUE(M9),""),IFERROR(VALUE(R9),""),IFERROR(VALUE(W9),""),IFERROR(VALUE(AB9),"")),"")</f>
        <v>0.70475</v>
      </c>
      <c r="EA9" s="109">
        <f t="shared" si="26"/>
        <v>0.6465</v>
      </c>
      <c r="EB9" s="110">
        <f t="shared" si="26"/>
        <v>0.4915</v>
      </c>
      <c r="EC9" s="111">
        <f t="shared" si="26"/>
        <v>0.41</v>
      </c>
      <c r="ED9" s="71">
        <f t="shared" si="26"/>
        <v>0.1106666667</v>
      </c>
      <c r="EE9" s="33">
        <f t="shared" ref="EE9:EG9" si="27">IFERROR(AVERAGE(IFERROR(VALUE(AG9),""),IFERROR(VALUE(AJ9),""),IFERROR(VALUE(AM9),""),IFERROR(VALUE(AP9),""),IFERROR(VALUE(AS9),"")),"")</f>
        <v>0.3402</v>
      </c>
      <c r="EF9" s="38">
        <f t="shared" si="27"/>
        <v>0.689</v>
      </c>
      <c r="EG9" s="112">
        <f t="shared" si="27"/>
        <v>0.6342</v>
      </c>
      <c r="EH9" s="38">
        <v>0.67</v>
      </c>
      <c r="EI9" s="113">
        <v>0.774</v>
      </c>
      <c r="EJ9" s="114">
        <f t="shared" si="8"/>
        <v>0.9363333333</v>
      </c>
      <c r="EK9" s="115">
        <f>IFERROR(AVERAGE(IFERROR(VALUE(BZ9),""),IFERROR(VALUE(CD9),""),IFERROR(VALUE(CF9),""),IFERROR(VALUE(CM9),"")),"")</f>
        <v>0.629</v>
      </c>
      <c r="EL9" s="116">
        <f t="shared" si="10"/>
        <v>0.716</v>
      </c>
      <c r="EM9" s="117" t="str">
        <f>IFERROR(AVERAGE(IFERROR(VALUE(CB9),""),IFERROR(VALUE(#REF!),""),IFERROR(VALUE(CK9),""),IFERROR(VALUE(CO9),"")),"")</f>
        <v/>
      </c>
      <c r="EN9" s="118">
        <f t="shared" si="12"/>
        <v>0.225</v>
      </c>
      <c r="EO9" s="119">
        <v>0.967</v>
      </c>
      <c r="EP9" s="35">
        <f t="shared" ref="EP9:EQ9" si="28">IFERROR(AVERAGE(IFERROR(VALUE(CQ9),""),IFERROR(VALUE(CX9),""),IFERROR(VALUE(DE9),""),IFERROR(VALUE(DM9),"")),"")</f>
        <v>0.76325</v>
      </c>
      <c r="EQ9" s="84">
        <f t="shared" si="28"/>
        <v>0.85975</v>
      </c>
      <c r="ER9" s="83">
        <f t="shared" ref="ER9:ES9" si="29">IFERROR(AVERAGE(IFERROR(VALUE(CU9),""),IFERROR(VALUE(DB9),""),IFERROR(VALUE(DI9),""),IFERROR(VALUE(DO9),"")),"")</f>
        <v>0.505</v>
      </c>
      <c r="ES9" s="34">
        <f t="shared" si="29"/>
        <v>0.373</v>
      </c>
      <c r="ET9" s="120">
        <f t="shared" ref="ET9:EU9" si="30">IFERROR(AVERAGE(IFERROR(VALUE(CS9),""),IFERROR(VALUE(CZ9),""),IFERROR(VALUE(DG9),"")),"")</f>
        <v>0.549</v>
      </c>
      <c r="EU9" s="121">
        <f t="shared" si="30"/>
        <v>0.131</v>
      </c>
      <c r="EV9" s="51">
        <v>0.623</v>
      </c>
      <c r="EW9" s="51">
        <v>0.092</v>
      </c>
    </row>
    <row r="10">
      <c r="A10" s="52"/>
      <c r="B10" s="53" t="s">
        <v>305</v>
      </c>
      <c r="C10" s="25">
        <v>0.926</v>
      </c>
      <c r="D10" s="26" t="s">
        <v>306</v>
      </c>
      <c r="E10" s="26" t="s">
        <v>307</v>
      </c>
      <c r="F10" s="26" t="s">
        <v>140</v>
      </c>
      <c r="G10" s="26" t="s">
        <v>308</v>
      </c>
      <c r="H10" s="26">
        <v>0.58</v>
      </c>
      <c r="I10" s="26" t="s">
        <v>309</v>
      </c>
      <c r="J10" s="26" t="s">
        <v>310</v>
      </c>
      <c r="K10" s="26" t="s">
        <v>311</v>
      </c>
      <c r="L10" s="26" t="s">
        <v>312</v>
      </c>
      <c r="M10" s="26">
        <v>0.804</v>
      </c>
      <c r="N10" s="26" t="s">
        <v>146</v>
      </c>
      <c r="O10" s="26" t="s">
        <v>313</v>
      </c>
      <c r="P10" s="26" t="s">
        <v>212</v>
      </c>
      <c r="Q10" s="26" t="s">
        <v>314</v>
      </c>
      <c r="R10" s="26">
        <v>0.72</v>
      </c>
      <c r="S10" s="26" t="s">
        <v>148</v>
      </c>
      <c r="T10" s="26" t="s">
        <v>202</v>
      </c>
      <c r="U10" s="26" t="s">
        <v>257</v>
      </c>
      <c r="V10" s="26" t="s">
        <v>172</v>
      </c>
      <c r="W10" s="26">
        <v>0.885</v>
      </c>
      <c r="X10" s="26" t="s">
        <v>208</v>
      </c>
      <c r="Y10" s="26" t="s">
        <v>200</v>
      </c>
      <c r="Z10" s="26" t="s">
        <v>294</v>
      </c>
      <c r="AA10" s="26" t="s">
        <v>315</v>
      </c>
      <c r="AB10" s="26">
        <v>0.912</v>
      </c>
      <c r="AC10" s="26" t="s">
        <v>316</v>
      </c>
      <c r="AD10" s="26" t="s">
        <v>317</v>
      </c>
      <c r="AE10" s="26" t="s">
        <v>318</v>
      </c>
      <c r="AF10" s="27" t="s">
        <v>319</v>
      </c>
      <c r="AG10" s="26">
        <v>0.601</v>
      </c>
      <c r="AH10" s="26" t="s">
        <v>222</v>
      </c>
      <c r="AI10" s="26" t="s">
        <v>320</v>
      </c>
      <c r="AJ10" s="26">
        <v>0.124</v>
      </c>
      <c r="AK10" s="26" t="s">
        <v>283</v>
      </c>
      <c r="AL10" s="26" t="s">
        <v>321</v>
      </c>
      <c r="AM10" s="26">
        <v>0.596</v>
      </c>
      <c r="AN10" s="26" t="s">
        <v>279</v>
      </c>
      <c r="AO10" s="26" t="s">
        <v>322</v>
      </c>
      <c r="AP10" s="26">
        <v>0.159</v>
      </c>
      <c r="AQ10" s="26" t="s">
        <v>137</v>
      </c>
      <c r="AR10" s="26" t="s">
        <v>244</v>
      </c>
      <c r="AS10" s="26">
        <v>0.447</v>
      </c>
      <c r="AT10" s="26" t="s">
        <v>323</v>
      </c>
      <c r="AU10" s="26" t="s">
        <v>324</v>
      </c>
      <c r="AV10" s="28">
        <v>0.244</v>
      </c>
      <c r="AW10" s="26" t="s">
        <v>176</v>
      </c>
      <c r="AX10" s="26" t="s">
        <v>325</v>
      </c>
      <c r="AY10" s="29">
        <v>0.132</v>
      </c>
      <c r="AZ10" s="26" t="s">
        <v>326</v>
      </c>
      <c r="BA10" s="26" t="s">
        <v>327</v>
      </c>
      <c r="BB10" s="29">
        <v>0.177</v>
      </c>
      <c r="BC10" s="26" t="s">
        <v>328</v>
      </c>
      <c r="BD10" s="26" t="s">
        <v>329</v>
      </c>
      <c r="BE10" s="29">
        <v>0.419</v>
      </c>
      <c r="BF10" s="26" t="s">
        <v>330</v>
      </c>
      <c r="BG10" s="26" t="s">
        <v>331</v>
      </c>
      <c r="BH10" s="29">
        <v>0.251</v>
      </c>
      <c r="BI10" s="26" t="s">
        <v>332</v>
      </c>
      <c r="BJ10" s="26" t="s">
        <v>333</v>
      </c>
      <c r="BK10" s="29">
        <v>0.143</v>
      </c>
      <c r="BL10" s="30">
        <v>0.749</v>
      </c>
      <c r="BM10" s="30">
        <v>0.844</v>
      </c>
      <c r="BN10" s="29">
        <v>0.197</v>
      </c>
      <c r="BO10" s="29">
        <v>0.796</v>
      </c>
      <c r="BP10" s="29">
        <v>0.869</v>
      </c>
      <c r="BQ10" s="26"/>
      <c r="BR10" s="26"/>
      <c r="BS10" s="27"/>
      <c r="BT10" s="26">
        <v>0.885</v>
      </c>
      <c r="BU10" s="26" t="s">
        <v>334</v>
      </c>
      <c r="BV10" s="26" t="s">
        <v>335</v>
      </c>
      <c r="BW10" s="26" t="s">
        <v>336</v>
      </c>
      <c r="BX10" s="26" t="s">
        <v>337</v>
      </c>
      <c r="BY10" s="26">
        <v>0.916</v>
      </c>
      <c r="BZ10" s="26" t="s">
        <v>338</v>
      </c>
      <c r="CA10" s="26" t="s">
        <v>306</v>
      </c>
      <c r="CB10" s="26" t="s">
        <v>339</v>
      </c>
      <c r="CC10" s="26" t="s">
        <v>340</v>
      </c>
      <c r="CD10" s="26" t="s">
        <v>341</v>
      </c>
      <c r="CE10" s="26" t="s">
        <v>137</v>
      </c>
      <c r="CF10" s="26" t="s">
        <v>311</v>
      </c>
      <c r="CG10" s="26" t="s">
        <v>342</v>
      </c>
      <c r="CH10" s="29">
        <v>0.9445296524</v>
      </c>
      <c r="CI10" s="29">
        <v>0.9429376853</v>
      </c>
      <c r="CJ10" s="29">
        <v>0.9097648262</v>
      </c>
      <c r="CK10" s="29">
        <v>0.834580873</v>
      </c>
      <c r="CL10" s="29">
        <v>0.617049719</v>
      </c>
      <c r="CM10" s="31">
        <v>0.736</v>
      </c>
      <c r="CN10" s="31">
        <v>0.776</v>
      </c>
      <c r="CO10" s="31">
        <v>0.438</v>
      </c>
      <c r="CP10" s="31">
        <v>0.16</v>
      </c>
      <c r="CQ10" s="28">
        <v>0.916</v>
      </c>
      <c r="CR10" s="29">
        <v>0.99</v>
      </c>
      <c r="CS10" s="29">
        <v>0.489</v>
      </c>
      <c r="CT10" s="29">
        <v>0.094</v>
      </c>
      <c r="CU10" s="29">
        <v>0.921</v>
      </c>
      <c r="CV10" s="29">
        <v>0.876</v>
      </c>
      <c r="CW10" s="29">
        <v>0.185</v>
      </c>
      <c r="CX10" s="29">
        <v>0.942</v>
      </c>
      <c r="CY10" s="29">
        <v>0.98</v>
      </c>
      <c r="CZ10" s="29">
        <v>0.711</v>
      </c>
      <c r="DA10" s="29">
        <v>0.363</v>
      </c>
      <c r="DB10" s="29">
        <v>0.931</v>
      </c>
      <c r="DC10" s="29">
        <v>0.849</v>
      </c>
      <c r="DD10" s="29">
        <v>0.359</v>
      </c>
      <c r="DE10" s="29">
        <v>0.844</v>
      </c>
      <c r="DF10" s="29">
        <v>0.952</v>
      </c>
      <c r="DG10" s="29">
        <v>0.524</v>
      </c>
      <c r="DH10" s="29">
        <v>0.166</v>
      </c>
      <c r="DI10" s="29">
        <v>0.706</v>
      </c>
      <c r="DJ10" s="29">
        <v>0.582</v>
      </c>
      <c r="DK10" s="29">
        <v>0.112</v>
      </c>
      <c r="DL10" s="29">
        <v>0.984</v>
      </c>
      <c r="DM10" s="29" t="s">
        <v>343</v>
      </c>
      <c r="DN10" s="29" t="s">
        <v>316</v>
      </c>
      <c r="DO10" s="29" t="s">
        <v>168</v>
      </c>
      <c r="DP10" s="32" t="s">
        <v>137</v>
      </c>
      <c r="DQ10" s="29">
        <v>0.29</v>
      </c>
      <c r="DR10" s="29">
        <v>0.875</v>
      </c>
      <c r="DS10" s="29">
        <v>0.921</v>
      </c>
      <c r="DT10" s="29">
        <v>0.837</v>
      </c>
      <c r="DU10" s="29">
        <v>0.772</v>
      </c>
      <c r="DZ10" s="122">
        <f t="shared" ref="DZ10:ED10" si="31">IFERROR(AVERAGE(IFERROR(VALUE(C10),""),IFERROR(VALUE(H10),""),IFERROR(VALUE(M10),""),IFERROR(VALUE(R10),""),IFERROR(VALUE(W10),""),IFERROR(VALUE(AB10),"")),"")</f>
        <v>0.8045</v>
      </c>
      <c r="EA10" s="123">
        <f t="shared" si="31"/>
        <v>0.7736666667</v>
      </c>
      <c r="EB10" s="124">
        <f t="shared" si="31"/>
        <v>0.6703333333</v>
      </c>
      <c r="EC10" s="125">
        <f t="shared" si="31"/>
        <v>0.5596666667</v>
      </c>
      <c r="ED10" s="126">
        <f t="shared" si="31"/>
        <v>0.2716666667</v>
      </c>
      <c r="EE10" s="127">
        <f t="shared" ref="EE10:EG10" si="32">IFERROR(AVERAGE(IFERROR(VALUE(AG10),""),IFERROR(VALUE(AJ10),""),IFERROR(VALUE(AM10),""),IFERROR(VALUE(AP10),""),IFERROR(VALUE(AS10),"")),"")</f>
        <v>0.3854</v>
      </c>
      <c r="EF10" s="128">
        <f t="shared" si="32"/>
        <v>0.7244</v>
      </c>
      <c r="EG10" s="129">
        <f t="shared" si="32"/>
        <v>0.6614</v>
      </c>
      <c r="EH10" s="130">
        <v>0.723</v>
      </c>
      <c r="EI10" s="131">
        <v>0.85</v>
      </c>
      <c r="EJ10" s="132">
        <f t="shared" si="8"/>
        <v>0.9151765508</v>
      </c>
      <c r="EK10" s="133">
        <f>IFERROR(AVERAGE(IFERROR(VALUE(BZ10),""),IFERROR(VALUE(CD10),""),IFERROR(VALUE(CI10),""),IFERROR(VALUE(CM10),"")),"")</f>
        <v>0.8112344213</v>
      </c>
      <c r="EL10" s="134">
        <f t="shared" si="10"/>
        <v>0.7961912066</v>
      </c>
      <c r="EM10" s="135">
        <f>IFERROR(AVERAGE(IFERROR(VALUE(CB10),""),IFERROR(VALUE(CF10),""),IFERROR(VALUE(CK10),""),IFERROR(VALUE(CO10),"")),"")</f>
        <v>0.5523952183</v>
      </c>
      <c r="EN10" s="136">
        <f t="shared" si="12"/>
        <v>0.3210124298</v>
      </c>
      <c r="EO10" s="137">
        <v>0.984</v>
      </c>
      <c r="EP10" s="138">
        <f t="shared" ref="EP10:EQ10" si="33">IFERROR(AVERAGE(IFERROR(VALUE(CQ10),""),IFERROR(VALUE(CX10),""),IFERROR(VALUE(DE10),""),IFERROR(VALUE(DM10),"")),"")</f>
        <v>0.88975</v>
      </c>
      <c r="EQ10" s="139">
        <f t="shared" si="33"/>
        <v>0.96825</v>
      </c>
      <c r="ER10" s="138">
        <f t="shared" ref="ER10:ES10" si="34">IFERROR(AVERAGE(IFERROR(VALUE(CU10),""),IFERROR(VALUE(DB10),""),IFERROR(VALUE(DI10),""),IFERROR(VALUE(DO10),"")),"")</f>
        <v>0.8075</v>
      </c>
      <c r="ES10" s="138">
        <f t="shared" si="34"/>
        <v>0.7335</v>
      </c>
      <c r="ET10" s="140">
        <f t="shared" ref="ET10:EU10" si="35">IFERROR(AVERAGE(IFERROR(VALUE(CS10),""),IFERROR(VALUE(CZ10),""),IFERROR(VALUE(DG10),"")),"")</f>
        <v>0.5746666667</v>
      </c>
      <c r="EU10" s="141">
        <f t="shared" si="35"/>
        <v>0.2076666667</v>
      </c>
      <c r="EV10" s="51">
        <v>0.646</v>
      </c>
      <c r="EW10" s="51">
        <v>0.223</v>
      </c>
    </row>
    <row r="11">
      <c r="A11" s="52"/>
      <c r="B11" s="142" t="s">
        <v>344</v>
      </c>
      <c r="C11" s="28">
        <v>0.841</v>
      </c>
      <c r="D11" s="29">
        <v>0.787</v>
      </c>
      <c r="E11" s="29">
        <v>0.643</v>
      </c>
      <c r="F11" s="29">
        <v>0.581</v>
      </c>
      <c r="G11" s="29">
        <v>0.203</v>
      </c>
      <c r="H11" s="29">
        <v>0.57</v>
      </c>
      <c r="I11" s="29">
        <v>0.798</v>
      </c>
      <c r="J11" s="29">
        <v>0.525</v>
      </c>
      <c r="K11" s="29">
        <v>0.635</v>
      </c>
      <c r="L11" s="29">
        <v>0.126</v>
      </c>
      <c r="M11" s="29">
        <v>0.756</v>
      </c>
      <c r="N11" s="29">
        <v>0.687</v>
      </c>
      <c r="O11" s="29">
        <v>0.655</v>
      </c>
      <c r="P11" s="29">
        <v>0.437</v>
      </c>
      <c r="Q11" s="29">
        <v>0.242</v>
      </c>
      <c r="R11" s="29">
        <v>0.622</v>
      </c>
      <c r="S11" s="29">
        <v>0.615</v>
      </c>
      <c r="T11" s="29">
        <v>0.415</v>
      </c>
      <c r="U11" s="29">
        <v>0.168</v>
      </c>
      <c r="V11" s="29">
        <v>0.081</v>
      </c>
      <c r="W11" s="29">
        <v>0.878</v>
      </c>
      <c r="X11" s="29">
        <v>0.664</v>
      </c>
      <c r="Y11" s="29">
        <v>0.655</v>
      </c>
      <c r="Z11" s="29">
        <v>0.309</v>
      </c>
      <c r="AA11" s="29">
        <v>0.088</v>
      </c>
      <c r="AB11" s="31">
        <v>0.89</v>
      </c>
      <c r="AC11" s="31">
        <v>0.921</v>
      </c>
      <c r="AD11" s="31">
        <v>0.85</v>
      </c>
      <c r="AE11" s="31">
        <v>0.777</v>
      </c>
      <c r="AF11" s="143">
        <v>0.372</v>
      </c>
      <c r="AG11" s="4">
        <v>0.465</v>
      </c>
      <c r="AH11" s="4">
        <v>0.598</v>
      </c>
      <c r="AI11" s="4">
        <v>0.864</v>
      </c>
      <c r="AJ11" s="4">
        <v>0.131</v>
      </c>
      <c r="AK11" s="4">
        <v>0.714</v>
      </c>
      <c r="AL11" s="4">
        <v>0.284</v>
      </c>
      <c r="AM11" s="4">
        <v>0.443</v>
      </c>
      <c r="AN11" s="4">
        <v>0.595</v>
      </c>
      <c r="AO11" s="4">
        <v>0.451</v>
      </c>
      <c r="AP11" s="144">
        <v>0.0834</v>
      </c>
      <c r="AQ11" s="144">
        <v>0.609</v>
      </c>
      <c r="AR11" s="144">
        <v>0.457</v>
      </c>
      <c r="AS11" s="4">
        <v>0.383</v>
      </c>
      <c r="AT11" s="4">
        <v>0.803</v>
      </c>
      <c r="AU11" s="4">
        <v>0.463</v>
      </c>
      <c r="AV11" s="145">
        <v>0.186</v>
      </c>
      <c r="AW11" s="4">
        <v>0.691</v>
      </c>
      <c r="AX11" s="4">
        <v>0.98</v>
      </c>
      <c r="AY11" s="4">
        <v>0.067</v>
      </c>
      <c r="AZ11" s="4">
        <v>0.619</v>
      </c>
      <c r="BA11" s="4">
        <v>0.85</v>
      </c>
      <c r="BB11" s="4">
        <v>0.151</v>
      </c>
      <c r="BC11" s="4">
        <v>0.811</v>
      </c>
      <c r="BD11" s="4">
        <v>0.758</v>
      </c>
      <c r="BE11" s="4">
        <v>0.252</v>
      </c>
      <c r="BF11" s="4">
        <v>0.639</v>
      </c>
      <c r="BG11" s="4">
        <v>0.594</v>
      </c>
      <c r="BH11" s="4">
        <v>0.183</v>
      </c>
      <c r="BI11" s="4">
        <v>0.582</v>
      </c>
      <c r="BJ11" s="4">
        <v>0.65</v>
      </c>
      <c r="BK11" s="4">
        <v>0.164</v>
      </c>
      <c r="BL11" s="4">
        <v>0.766</v>
      </c>
      <c r="BM11" s="4">
        <v>0.803</v>
      </c>
      <c r="BN11" s="4">
        <v>0.12</v>
      </c>
      <c r="BO11" s="4">
        <v>0.747</v>
      </c>
      <c r="BP11" s="4">
        <v>0.807</v>
      </c>
      <c r="BQ11" s="26"/>
      <c r="BR11" s="26"/>
      <c r="BS11" s="27"/>
      <c r="BT11" s="26"/>
      <c r="BU11" s="26"/>
      <c r="BV11" s="26"/>
      <c r="BW11" s="26"/>
      <c r="BX11" s="26"/>
      <c r="BY11" s="29">
        <v>0.9492273731</v>
      </c>
      <c r="BZ11" s="29">
        <v>0.6261931626</v>
      </c>
      <c r="CA11" s="29">
        <v>0.8388520971</v>
      </c>
      <c r="CB11" s="29">
        <v>0.2252897881</v>
      </c>
      <c r="CC11" s="29">
        <v>0.0489130819</v>
      </c>
      <c r="CD11" s="29">
        <v>0.8095149512</v>
      </c>
      <c r="CE11" s="29">
        <v>0.5101123596</v>
      </c>
      <c r="CF11" s="29">
        <v>0.5366117148</v>
      </c>
      <c r="CG11" s="29">
        <v>0.2076598273</v>
      </c>
      <c r="CH11" s="30">
        <v>0.9938650307</v>
      </c>
      <c r="CI11" s="30">
        <v>0.9593388382</v>
      </c>
      <c r="CJ11" s="30">
        <v>0.9943762781</v>
      </c>
      <c r="CK11" s="30">
        <v>0.9266671304</v>
      </c>
      <c r="CL11" s="30">
        <v>0.8052556969</v>
      </c>
      <c r="CM11" s="30">
        <v>0.6084182315</v>
      </c>
      <c r="CN11" s="30">
        <v>0.6139430285</v>
      </c>
      <c r="CO11" s="30">
        <v>0.2789928042</v>
      </c>
      <c r="CP11" s="30">
        <v>0.0823754905</v>
      </c>
      <c r="CQ11" s="29">
        <v>0.835</v>
      </c>
      <c r="CR11" s="29">
        <v>0.935</v>
      </c>
      <c r="CS11" s="29">
        <v>0.55</v>
      </c>
      <c r="CT11" s="29">
        <v>0.148</v>
      </c>
      <c r="CU11" s="29">
        <v>0.711</v>
      </c>
      <c r="CV11" s="29">
        <v>0.56</v>
      </c>
      <c r="CW11" s="29">
        <v>0.28</v>
      </c>
      <c r="CX11" s="29">
        <v>0.912</v>
      </c>
      <c r="CY11" s="29">
        <v>0.956</v>
      </c>
      <c r="CZ11" s="29">
        <v>0.713</v>
      </c>
      <c r="DA11" s="29">
        <v>0.365</v>
      </c>
      <c r="DB11" s="29">
        <v>0.84</v>
      </c>
      <c r="DC11" s="29">
        <v>0.727</v>
      </c>
      <c r="DD11" s="29">
        <v>0.383</v>
      </c>
      <c r="DE11" s="29">
        <v>0.655</v>
      </c>
      <c r="DF11" s="29">
        <v>0.783</v>
      </c>
      <c r="DG11" s="29">
        <v>0.518</v>
      </c>
      <c r="DH11" s="29">
        <v>0.228</v>
      </c>
      <c r="DI11" s="29">
        <v>0.244</v>
      </c>
      <c r="DJ11" s="29">
        <v>0.091</v>
      </c>
      <c r="DK11" s="29">
        <v>0.179</v>
      </c>
      <c r="DL11" s="72">
        <v>0.986</v>
      </c>
      <c r="DM11" s="72">
        <v>0.843</v>
      </c>
      <c r="DN11" s="72">
        <v>0.962</v>
      </c>
      <c r="DO11" s="72">
        <v>0.675</v>
      </c>
      <c r="DP11" s="146">
        <v>0.614</v>
      </c>
      <c r="DQ11" s="29"/>
      <c r="DR11" s="29"/>
      <c r="DS11" s="29"/>
      <c r="DT11" s="29"/>
      <c r="DU11" s="29"/>
      <c r="DZ11" s="147"/>
      <c r="EA11" s="148"/>
      <c r="EB11" s="149"/>
      <c r="EC11" s="150"/>
      <c r="ED11" s="151"/>
      <c r="EE11" s="152"/>
      <c r="EF11" s="83"/>
      <c r="EG11" s="153"/>
      <c r="EH11" s="83"/>
      <c r="EI11" s="154"/>
      <c r="EJ11" s="155"/>
      <c r="EK11" s="156"/>
      <c r="EL11" s="157"/>
      <c r="EM11" s="158"/>
      <c r="EN11" s="159"/>
      <c r="EO11" s="137"/>
      <c r="EP11" s="160"/>
      <c r="EQ11" s="161"/>
      <c r="ER11" s="162"/>
      <c r="ES11" s="163"/>
      <c r="ET11" s="138"/>
      <c r="EU11" s="164"/>
      <c r="EV11" s="51"/>
      <c r="EW11" s="51"/>
    </row>
    <row r="12">
      <c r="A12" s="52"/>
      <c r="B12" s="53" t="s">
        <v>345</v>
      </c>
      <c r="C12" s="25">
        <v>0.897</v>
      </c>
      <c r="D12" s="26" t="s">
        <v>346</v>
      </c>
      <c r="E12" s="26" t="s">
        <v>93</v>
      </c>
      <c r="F12" s="26" t="s">
        <v>347</v>
      </c>
      <c r="G12" s="26" t="s">
        <v>348</v>
      </c>
      <c r="H12" s="26">
        <v>0.702</v>
      </c>
      <c r="I12" s="26" t="s">
        <v>349</v>
      </c>
      <c r="J12" s="26" t="s">
        <v>194</v>
      </c>
      <c r="K12" s="26" t="s">
        <v>350</v>
      </c>
      <c r="L12" s="26" t="s">
        <v>73</v>
      </c>
      <c r="M12" s="26">
        <v>0.782</v>
      </c>
      <c r="N12" s="26" t="s">
        <v>147</v>
      </c>
      <c r="O12" s="26" t="s">
        <v>176</v>
      </c>
      <c r="P12" s="26" t="s">
        <v>351</v>
      </c>
      <c r="Q12" s="26" t="s">
        <v>352</v>
      </c>
      <c r="R12" s="26">
        <v>0.706</v>
      </c>
      <c r="S12" s="26" t="s">
        <v>187</v>
      </c>
      <c r="T12" s="26" t="s">
        <v>353</v>
      </c>
      <c r="U12" s="26" t="s">
        <v>354</v>
      </c>
      <c r="V12" s="26" t="s">
        <v>355</v>
      </c>
      <c r="W12" s="26">
        <v>0.885</v>
      </c>
      <c r="X12" s="26" t="s">
        <v>338</v>
      </c>
      <c r="Y12" s="26" t="s">
        <v>116</v>
      </c>
      <c r="Z12" s="26" t="s">
        <v>356</v>
      </c>
      <c r="AA12" s="26" t="s">
        <v>357</v>
      </c>
      <c r="AB12" s="26">
        <v>0.805</v>
      </c>
      <c r="AC12" s="26" t="s">
        <v>358</v>
      </c>
      <c r="AD12" s="26" t="s">
        <v>80</v>
      </c>
      <c r="AE12" s="26" t="s">
        <v>194</v>
      </c>
      <c r="AF12" s="27" t="s">
        <v>359</v>
      </c>
      <c r="AG12" s="26">
        <v>0.648</v>
      </c>
      <c r="AH12" s="26" t="s">
        <v>142</v>
      </c>
      <c r="AI12" s="26" t="s">
        <v>360</v>
      </c>
      <c r="AJ12" s="26">
        <v>0.148</v>
      </c>
      <c r="AK12" s="26" t="s">
        <v>361</v>
      </c>
      <c r="AL12" s="26" t="s">
        <v>362</v>
      </c>
      <c r="AM12" s="26">
        <v>0.431</v>
      </c>
      <c r="AN12" s="26" t="s">
        <v>363</v>
      </c>
      <c r="AO12" s="26" t="s">
        <v>364</v>
      </c>
      <c r="AP12" s="26">
        <v>0.279</v>
      </c>
      <c r="AQ12" s="26" t="s">
        <v>82</v>
      </c>
      <c r="AR12" s="26" t="s">
        <v>271</v>
      </c>
      <c r="AS12" s="26">
        <v>0.455</v>
      </c>
      <c r="AT12" s="26" t="s">
        <v>162</v>
      </c>
      <c r="AU12" s="26" t="s">
        <v>85</v>
      </c>
      <c r="AV12" s="165">
        <v>0.374</v>
      </c>
      <c r="AW12" s="26" t="s">
        <v>233</v>
      </c>
      <c r="AX12" s="26" t="s">
        <v>365</v>
      </c>
      <c r="AY12" s="31">
        <v>0.228</v>
      </c>
      <c r="AZ12" s="26" t="s">
        <v>229</v>
      </c>
      <c r="BA12" s="26" t="s">
        <v>199</v>
      </c>
      <c r="BB12" s="29"/>
      <c r="BC12" s="26" t="s">
        <v>366</v>
      </c>
      <c r="BD12" s="26" t="s">
        <v>367</v>
      </c>
      <c r="BE12" s="29"/>
      <c r="BF12" s="26" t="s">
        <v>368</v>
      </c>
      <c r="BG12" s="26" t="s">
        <v>367</v>
      </c>
      <c r="BH12" s="31">
        <v>0.376</v>
      </c>
      <c r="BI12" s="26" t="s">
        <v>369</v>
      </c>
      <c r="BJ12" s="26" t="s">
        <v>351</v>
      </c>
      <c r="BK12" s="31">
        <v>0.2</v>
      </c>
      <c r="BL12" s="31">
        <v>0.705</v>
      </c>
      <c r="BM12" s="31">
        <v>0.755</v>
      </c>
      <c r="BN12" s="29"/>
      <c r="BO12" s="29"/>
      <c r="BP12" s="29"/>
      <c r="BQ12" s="26"/>
      <c r="BR12" s="26"/>
      <c r="BS12" s="27"/>
      <c r="BT12" s="26">
        <v>0.916</v>
      </c>
      <c r="BU12" s="26" t="s">
        <v>162</v>
      </c>
      <c r="BV12" s="26" t="s">
        <v>370</v>
      </c>
      <c r="BW12" s="26" t="s">
        <v>121</v>
      </c>
      <c r="BX12" s="26" t="s">
        <v>371</v>
      </c>
      <c r="BY12" s="26">
        <v>0.956</v>
      </c>
      <c r="BZ12" s="26" t="s">
        <v>154</v>
      </c>
      <c r="CA12" s="26" t="s">
        <v>241</v>
      </c>
      <c r="CB12" s="26" t="s">
        <v>372</v>
      </c>
      <c r="CC12" s="26" t="s">
        <v>373</v>
      </c>
      <c r="CD12" s="26" t="s">
        <v>318</v>
      </c>
      <c r="CE12" s="26" t="s">
        <v>374</v>
      </c>
      <c r="CF12" s="26" t="s">
        <v>375</v>
      </c>
      <c r="CG12" s="26" t="s">
        <v>276</v>
      </c>
      <c r="CH12" s="31">
        <v>1.0</v>
      </c>
      <c r="CI12" s="31">
        <v>0.987</v>
      </c>
      <c r="CJ12" s="31">
        <v>0.996</v>
      </c>
      <c r="CK12" s="31">
        <v>0.911</v>
      </c>
      <c r="CL12" s="31">
        <v>0.701</v>
      </c>
      <c r="CM12" s="31">
        <v>0.689</v>
      </c>
      <c r="CN12" s="31">
        <v>0.72</v>
      </c>
      <c r="CO12" s="31">
        <v>0.353</v>
      </c>
      <c r="CP12" s="31">
        <v>0.108</v>
      </c>
      <c r="CQ12" s="28">
        <v>0.862</v>
      </c>
      <c r="CR12" s="29">
        <v>0.98</v>
      </c>
      <c r="CS12" s="29">
        <v>0.555</v>
      </c>
      <c r="CT12" s="29">
        <v>0.129</v>
      </c>
      <c r="CU12" s="29">
        <v>0.883</v>
      </c>
      <c r="CV12" s="29">
        <v>0.758</v>
      </c>
      <c r="CW12" s="29">
        <v>0.2</v>
      </c>
      <c r="CX12" s="29">
        <v>0.968</v>
      </c>
      <c r="CY12" s="29">
        <v>0.988</v>
      </c>
      <c r="CZ12" s="29">
        <v>0.801</v>
      </c>
      <c r="DA12" s="29">
        <v>0.462</v>
      </c>
      <c r="DB12" s="29">
        <v>0.933</v>
      </c>
      <c r="DC12" s="29">
        <v>0.865</v>
      </c>
      <c r="DD12" s="29">
        <v>0.501</v>
      </c>
      <c r="DE12" s="29">
        <v>0.751</v>
      </c>
      <c r="DF12" s="29">
        <v>0.92</v>
      </c>
      <c r="DG12" s="29">
        <v>0.558</v>
      </c>
      <c r="DH12" s="29">
        <v>0.272</v>
      </c>
      <c r="DI12" s="29">
        <v>0.494</v>
      </c>
      <c r="DJ12" s="29">
        <v>0.286</v>
      </c>
      <c r="DK12" s="29">
        <v>0.204</v>
      </c>
      <c r="DL12" s="29">
        <v>0.984</v>
      </c>
      <c r="DM12" s="29" t="s">
        <v>376</v>
      </c>
      <c r="DN12" s="29" t="s">
        <v>134</v>
      </c>
      <c r="DO12" s="29" t="s">
        <v>201</v>
      </c>
      <c r="DP12" s="32" t="s">
        <v>303</v>
      </c>
      <c r="DQ12" s="29">
        <v>0.36</v>
      </c>
      <c r="DR12" s="29">
        <v>0.734</v>
      </c>
      <c r="DS12" s="29">
        <v>0.881</v>
      </c>
      <c r="DT12" s="29">
        <v>0.452</v>
      </c>
      <c r="DU12" s="29">
        <v>0.251</v>
      </c>
      <c r="DZ12" s="147">
        <f t="shared" ref="DZ12:ED12" si="36">IFERROR(AVERAGE(IFERROR(VALUE(C12),""),IFERROR(VALUE(H12),""),IFERROR(VALUE(M12),""),IFERROR(VALUE(R12),""),IFERROR(VALUE(W12),""),IFERROR(VALUE(AB12),"")),"")</f>
        <v>0.7961666667</v>
      </c>
      <c r="EA12" s="148">
        <f t="shared" si="36"/>
        <v>0.772</v>
      </c>
      <c r="EB12" s="149">
        <f t="shared" si="36"/>
        <v>0.6865</v>
      </c>
      <c r="EC12" s="150">
        <f t="shared" si="36"/>
        <v>0.5233333333</v>
      </c>
      <c r="ED12" s="151">
        <f t="shared" si="36"/>
        <v>0.192</v>
      </c>
      <c r="EE12" s="152">
        <f t="shared" ref="EE12:EG12" si="37">IFERROR(AVERAGE(IFERROR(VALUE(AG12),""),IFERROR(VALUE(AJ12),""),IFERROR(VALUE(AM12),""),IFERROR(VALUE(AP12),""),IFERROR(VALUE(AS12),"")),"")</f>
        <v>0.3922</v>
      </c>
      <c r="EF12" s="83">
        <f t="shared" si="37"/>
        <v>0.6866</v>
      </c>
      <c r="EG12" s="153">
        <f t="shared" si="37"/>
        <v>0.6</v>
      </c>
      <c r="EH12" s="83">
        <v>0.667</v>
      </c>
      <c r="EI12" s="154">
        <v>0.74</v>
      </c>
      <c r="EJ12" s="155">
        <f t="shared" ref="EJ12:EJ16" si="43">IFERROR(AVERAGE(IFERROR(VALUE(BT12),""),IFERROR(VALUE(BY12),""),IFERROR(VALUE(CH12),"")),"")</f>
        <v>0.9573333333</v>
      </c>
      <c r="EK12" s="156">
        <f t="shared" ref="EK12:EK16" si="44">IFERROR(AVERAGE(IFERROR(VALUE(BZ12),""),IFERROR(VALUE(CD12),""),IFERROR(VALUE(CI12),""),IFERROR(VALUE(CM12),"")),"")</f>
        <v>0.79525</v>
      </c>
      <c r="EL12" s="157">
        <f t="shared" ref="EL12:EL16" si="45">IFERROR(AVERAGE(IFERROR(VALUE(CA12),""),IFERROR(VALUE(CE12),""),IFERROR(VALUE(CJ12),""), IFERROR(VALUE(CN12),"")),"")</f>
        <v>0.7925</v>
      </c>
      <c r="EM12" s="158">
        <f t="shared" ref="EM12:EM16" si="46">IFERROR(AVERAGE(IFERROR(VALUE(CB12),""),IFERROR(VALUE(CF12),""),IFERROR(VALUE(CK12),""),IFERROR(VALUE(CO12),"")),"")</f>
        <v>0.54525</v>
      </c>
      <c r="EN12" s="159">
        <f t="shared" ref="EN12:EN16" si="47">IFERROR(AVERAGE(IFERROR(VALUE(CC12),""),IFERROR(VALUE(CG12),""),IFERROR(VALUE(CL12),""), IFERROR(VALUE(CP12),"")),"")</f>
        <v>0.30175</v>
      </c>
      <c r="EO12" s="137">
        <v>0.984</v>
      </c>
      <c r="EP12" s="160">
        <f t="shared" ref="EP12:EQ12" si="38">IFERROR(AVERAGE(IFERROR(VALUE(CQ12),""),IFERROR(VALUE(CX12),""),IFERROR(VALUE(DE12),""),IFERROR(VALUE(DM12),"")),"")</f>
        <v>0.87425</v>
      </c>
      <c r="EQ12" s="161">
        <f t="shared" si="38"/>
        <v>0.9565</v>
      </c>
      <c r="ER12" s="162">
        <f t="shared" ref="ER12:ES12" si="39">IFERROR(AVERAGE(IFERROR(VALUE(CU12),""),IFERROR(VALUE(DB12),""),IFERROR(VALUE(DI12),""),IFERROR(VALUE(DO12),"")),"")</f>
        <v>0.75075</v>
      </c>
      <c r="ES12" s="163">
        <f t="shared" si="39"/>
        <v>0.6295</v>
      </c>
      <c r="ET12" s="138">
        <f t="shared" ref="ET12:EU12" si="40">IFERROR(AVERAGE(IFERROR(VALUE(CS12),""),IFERROR(VALUE(CZ12),""),IFERROR(VALUE(DG12),"")),"")</f>
        <v>0.638</v>
      </c>
      <c r="EU12" s="164">
        <f t="shared" si="40"/>
        <v>0.2876666667</v>
      </c>
      <c r="EV12" s="51">
        <v>0.708</v>
      </c>
      <c r="EW12" s="51"/>
    </row>
    <row r="13">
      <c r="A13" s="166"/>
      <c r="B13" s="167" t="s">
        <v>377</v>
      </c>
      <c r="C13" s="25">
        <v>0.831</v>
      </c>
      <c r="D13" s="26" t="s">
        <v>378</v>
      </c>
      <c r="E13" s="26" t="s">
        <v>379</v>
      </c>
      <c r="F13" s="26" t="s">
        <v>380</v>
      </c>
      <c r="G13" s="26" t="s">
        <v>381</v>
      </c>
      <c r="H13" s="26">
        <v>0.792</v>
      </c>
      <c r="I13" s="26" t="s">
        <v>382</v>
      </c>
      <c r="J13" s="26" t="s">
        <v>383</v>
      </c>
      <c r="K13" s="26" t="s">
        <v>71</v>
      </c>
      <c r="L13" s="26" t="s">
        <v>384</v>
      </c>
      <c r="M13" s="26">
        <v>0.628</v>
      </c>
      <c r="N13" s="26" t="s">
        <v>385</v>
      </c>
      <c r="O13" s="26" t="s">
        <v>386</v>
      </c>
      <c r="P13" s="26" t="s">
        <v>315</v>
      </c>
      <c r="Q13" s="26" t="s">
        <v>210</v>
      </c>
      <c r="R13" s="26">
        <v>0.605</v>
      </c>
      <c r="S13" s="26" t="s">
        <v>137</v>
      </c>
      <c r="T13" s="26" t="s">
        <v>387</v>
      </c>
      <c r="U13" s="26" t="s">
        <v>388</v>
      </c>
      <c r="V13" s="26" t="s">
        <v>389</v>
      </c>
      <c r="W13" s="26">
        <v>0.928</v>
      </c>
      <c r="X13" s="26" t="s">
        <v>390</v>
      </c>
      <c r="Y13" s="26" t="s">
        <v>391</v>
      </c>
      <c r="Z13" s="26" t="s">
        <v>263</v>
      </c>
      <c r="AA13" s="26" t="s">
        <v>392</v>
      </c>
      <c r="AB13" s="26">
        <v>0.823</v>
      </c>
      <c r="AC13" s="26" t="s">
        <v>393</v>
      </c>
      <c r="AD13" s="26" t="s">
        <v>394</v>
      </c>
      <c r="AE13" s="26" t="s">
        <v>143</v>
      </c>
      <c r="AF13" s="27" t="s">
        <v>357</v>
      </c>
      <c r="AG13" s="26">
        <v>0.61</v>
      </c>
      <c r="AH13" s="26" t="s">
        <v>78</v>
      </c>
      <c r="AI13" s="26" t="s">
        <v>395</v>
      </c>
      <c r="AJ13" s="26">
        <v>0.149</v>
      </c>
      <c r="AK13" s="26" t="s">
        <v>396</v>
      </c>
      <c r="AL13" s="26" t="s">
        <v>397</v>
      </c>
      <c r="AM13" s="26">
        <v>0.464</v>
      </c>
      <c r="AN13" s="26" t="s">
        <v>398</v>
      </c>
      <c r="AO13" s="26" t="s">
        <v>399</v>
      </c>
      <c r="AP13" s="26">
        <v>0.252</v>
      </c>
      <c r="AQ13" s="26" t="s">
        <v>400</v>
      </c>
      <c r="AR13" s="26" t="s">
        <v>87</v>
      </c>
      <c r="AS13" s="26">
        <v>0.365</v>
      </c>
      <c r="AT13" s="26" t="s">
        <v>401</v>
      </c>
      <c r="AU13" s="26" t="s">
        <v>402</v>
      </c>
      <c r="AV13" s="28">
        <v>0.236</v>
      </c>
      <c r="AW13" s="29">
        <v>0.686</v>
      </c>
      <c r="AX13" s="29">
        <v>0.987</v>
      </c>
      <c r="AY13" s="29">
        <v>0.132</v>
      </c>
      <c r="AZ13" s="29">
        <v>0.626</v>
      </c>
      <c r="BA13" s="29">
        <v>0.885</v>
      </c>
      <c r="BB13" s="29">
        <v>0.341</v>
      </c>
      <c r="BC13" s="29">
        <v>0.803</v>
      </c>
      <c r="BD13" s="29">
        <v>0.809</v>
      </c>
      <c r="BE13" s="29">
        <v>0.374</v>
      </c>
      <c r="BF13" s="29">
        <v>0.595</v>
      </c>
      <c r="BG13" s="29">
        <v>0.568</v>
      </c>
      <c r="BH13" s="29">
        <v>0.183</v>
      </c>
      <c r="BI13" s="29">
        <v>0.512</v>
      </c>
      <c r="BJ13" s="29">
        <v>0.488</v>
      </c>
      <c r="BK13" s="29">
        <v>0.203</v>
      </c>
      <c r="BL13" s="29">
        <v>0.713</v>
      </c>
      <c r="BM13" s="29">
        <v>0.835</v>
      </c>
      <c r="BN13" s="29">
        <v>0.16</v>
      </c>
      <c r="BO13" s="29">
        <v>0.658</v>
      </c>
      <c r="BP13" s="29">
        <v>0.812</v>
      </c>
      <c r="BQ13" s="26"/>
      <c r="BR13" s="26"/>
      <c r="BS13" s="27"/>
      <c r="BT13" s="26">
        <v>0.912</v>
      </c>
      <c r="BU13" s="26" t="s">
        <v>151</v>
      </c>
      <c r="BV13" s="26" t="s">
        <v>403</v>
      </c>
      <c r="BW13" s="26" t="s">
        <v>404</v>
      </c>
      <c r="BX13" s="26" t="s">
        <v>405</v>
      </c>
      <c r="BY13" s="26">
        <v>0.918</v>
      </c>
      <c r="BZ13" s="26" t="s">
        <v>195</v>
      </c>
      <c r="CA13" s="26" t="s">
        <v>406</v>
      </c>
      <c r="CB13" s="26" t="s">
        <v>407</v>
      </c>
      <c r="CC13" s="26" t="s">
        <v>408</v>
      </c>
      <c r="CD13" s="26" t="s">
        <v>409</v>
      </c>
      <c r="CE13" s="26" t="s">
        <v>410</v>
      </c>
      <c r="CF13" s="26" t="s">
        <v>169</v>
      </c>
      <c r="CG13" s="26" t="s">
        <v>411</v>
      </c>
      <c r="CH13" s="29">
        <v>0.9959100204</v>
      </c>
      <c r="CI13" s="29">
        <v>0.9592156915</v>
      </c>
      <c r="CJ13" s="29">
        <v>0.9961656442</v>
      </c>
      <c r="CK13" s="29">
        <v>0.8963838071</v>
      </c>
      <c r="CL13" s="29">
        <v>0.6951252874</v>
      </c>
      <c r="CM13" s="31">
        <v>0.561</v>
      </c>
      <c r="CN13" s="31">
        <v>0.489</v>
      </c>
      <c r="CO13" s="31">
        <v>0.206</v>
      </c>
      <c r="CP13" s="31">
        <v>0.032</v>
      </c>
      <c r="CQ13" s="28">
        <v>0.785</v>
      </c>
      <c r="CR13" s="29">
        <v>0.89</v>
      </c>
      <c r="CS13" s="29">
        <v>0.5</v>
      </c>
      <c r="CT13" s="29">
        <v>0.09</v>
      </c>
      <c r="CU13" s="29">
        <v>0.673</v>
      </c>
      <c r="CV13" s="29">
        <v>0.449</v>
      </c>
      <c r="CW13" s="29">
        <v>0.21</v>
      </c>
      <c r="CX13" s="29">
        <v>0.953</v>
      </c>
      <c r="CY13" s="29">
        <v>0.98</v>
      </c>
      <c r="CZ13" s="29">
        <v>0.847</v>
      </c>
      <c r="DA13" s="29">
        <v>0.572</v>
      </c>
      <c r="DB13" s="29">
        <v>0.892</v>
      </c>
      <c r="DC13" s="29">
        <v>0.792</v>
      </c>
      <c r="DD13" s="29">
        <v>0.649</v>
      </c>
      <c r="DE13" s="29">
        <v>0.695</v>
      </c>
      <c r="DF13" s="29">
        <v>0.834</v>
      </c>
      <c r="DG13" s="29">
        <v>0.57</v>
      </c>
      <c r="DH13" s="29">
        <v>0.275</v>
      </c>
      <c r="DI13" s="29">
        <v>0.322</v>
      </c>
      <c r="DJ13" s="29">
        <v>0.146</v>
      </c>
      <c r="DK13" s="29">
        <v>0.288</v>
      </c>
      <c r="DL13" s="29">
        <v>0.973</v>
      </c>
      <c r="DM13" s="29" t="s">
        <v>237</v>
      </c>
      <c r="DN13" s="29" t="s">
        <v>215</v>
      </c>
      <c r="DO13" s="29" t="s">
        <v>135</v>
      </c>
      <c r="DP13" s="32" t="s">
        <v>412</v>
      </c>
      <c r="DQ13" s="29">
        <v>0.465</v>
      </c>
      <c r="DR13" s="29">
        <v>0.715</v>
      </c>
      <c r="DS13" s="29">
        <v>0.785</v>
      </c>
      <c r="DT13" s="29">
        <v>0.389</v>
      </c>
      <c r="DU13" s="29">
        <v>0.203</v>
      </c>
      <c r="DZ13" s="168">
        <f t="shared" ref="DZ13:ED13" si="41">IFERROR(AVERAGE(IFERROR(VALUE(C13),""),IFERROR(VALUE(H13),""),IFERROR(VALUE(M13),""),IFERROR(VALUE(R13),""),IFERROR(VALUE(W13),""),IFERROR(VALUE(AB13),"")),"")</f>
        <v>0.7678333333</v>
      </c>
      <c r="EA13" s="169">
        <f t="shared" si="41"/>
        <v>0.7585</v>
      </c>
      <c r="EB13" s="170">
        <f t="shared" si="41"/>
        <v>0.644</v>
      </c>
      <c r="EC13" s="83">
        <f t="shared" si="41"/>
        <v>0.4775</v>
      </c>
      <c r="ED13" s="171">
        <f t="shared" si="41"/>
        <v>0.1791666667</v>
      </c>
      <c r="EE13" s="172">
        <f t="shared" ref="EE13:EG13" si="42">IFERROR(AVERAGE(IFERROR(VALUE(AG13),""),IFERROR(VALUE(AJ13),""),IFERROR(VALUE(AM13),""),IFERROR(VALUE(AP13),""),IFERROR(VALUE(AS13),"")),"")</f>
        <v>0.368</v>
      </c>
      <c r="EF13" s="41">
        <f t="shared" si="42"/>
        <v>0.674</v>
      </c>
      <c r="EG13" s="173">
        <f t="shared" si="42"/>
        <v>0.6018</v>
      </c>
      <c r="EH13" s="42">
        <v>0.644</v>
      </c>
      <c r="EI13" s="151">
        <v>0.747</v>
      </c>
      <c r="EJ13" s="174">
        <f t="shared" si="43"/>
        <v>0.9419700068</v>
      </c>
      <c r="EK13" s="41">
        <f t="shared" si="44"/>
        <v>0.7578039229</v>
      </c>
      <c r="EL13" s="83">
        <f t="shared" si="45"/>
        <v>0.7555414111</v>
      </c>
      <c r="EM13" s="83">
        <f t="shared" si="46"/>
        <v>0.4928459518</v>
      </c>
      <c r="EN13" s="175">
        <f t="shared" si="47"/>
        <v>0.2882813219</v>
      </c>
      <c r="EO13" s="176">
        <v>0.973</v>
      </c>
      <c r="EP13" s="177">
        <f t="shared" ref="EP13:EQ13" si="48">IFERROR(AVERAGE(IFERROR(VALUE(CQ13),""),IFERROR(VALUE(CX13),""),IFERROR(VALUE(DE13),""),IFERROR(VALUE(DM13),"")),"")</f>
        <v>0.83425</v>
      </c>
      <c r="EQ13" s="34">
        <f t="shared" si="48"/>
        <v>0.91325</v>
      </c>
      <c r="ER13" s="178">
        <f t="shared" ref="ER13:ES13" si="49">IFERROR(AVERAGE(IFERROR(VALUE(CU13),""),IFERROR(VALUE(DB13),""),IFERROR(VALUE(DI13),""),IFERROR(VALUE(DO13),"")),"")</f>
        <v>0.65175</v>
      </c>
      <c r="ES13" s="48">
        <f t="shared" si="49"/>
        <v>0.5125</v>
      </c>
      <c r="ET13" s="179">
        <f t="shared" ref="ET13:EU13" si="50">IFERROR(AVERAGE(IFERROR(VALUE(CS13),""),IFERROR(VALUE(CZ13),""),IFERROR(VALUE(DG13),"")),"")</f>
        <v>0.639</v>
      </c>
      <c r="EU13" s="79">
        <f t="shared" si="50"/>
        <v>0.3123333333</v>
      </c>
      <c r="EV13" s="51">
        <v>0.703</v>
      </c>
      <c r="EW13" s="51"/>
    </row>
    <row r="14">
      <c r="A14" s="180" t="s">
        <v>413</v>
      </c>
      <c r="B14" s="24" t="s">
        <v>414</v>
      </c>
      <c r="C14" s="181">
        <v>0.708</v>
      </c>
      <c r="D14" s="182" t="s">
        <v>415</v>
      </c>
      <c r="E14" s="182" t="s">
        <v>416</v>
      </c>
      <c r="F14" s="182" t="s">
        <v>417</v>
      </c>
      <c r="G14" s="182" t="s">
        <v>152</v>
      </c>
      <c r="H14" s="182">
        <v>0.235</v>
      </c>
      <c r="I14" s="182" t="s">
        <v>194</v>
      </c>
      <c r="J14" s="182" t="s">
        <v>418</v>
      </c>
      <c r="K14" s="182" t="s">
        <v>419</v>
      </c>
      <c r="L14" s="182" t="s">
        <v>420</v>
      </c>
      <c r="M14" s="182">
        <v>0.732</v>
      </c>
      <c r="N14" s="182" t="s">
        <v>128</v>
      </c>
      <c r="O14" s="182" t="s">
        <v>421</v>
      </c>
      <c r="P14" s="182" t="s">
        <v>422</v>
      </c>
      <c r="Q14" s="182" t="s">
        <v>423</v>
      </c>
      <c r="R14" s="182">
        <v>0.566</v>
      </c>
      <c r="S14" s="182" t="s">
        <v>198</v>
      </c>
      <c r="T14" s="182" t="s">
        <v>424</v>
      </c>
      <c r="U14" s="182" t="s">
        <v>425</v>
      </c>
      <c r="V14" s="182" t="s">
        <v>426</v>
      </c>
      <c r="W14" s="182">
        <v>0.799</v>
      </c>
      <c r="X14" s="182" t="s">
        <v>94</v>
      </c>
      <c r="Y14" s="182" t="s">
        <v>427</v>
      </c>
      <c r="Z14" s="182" t="s">
        <v>428</v>
      </c>
      <c r="AA14" s="182" t="s">
        <v>429</v>
      </c>
      <c r="AB14" s="182">
        <v>0.868</v>
      </c>
      <c r="AC14" s="182" t="s">
        <v>430</v>
      </c>
      <c r="AD14" s="182" t="s">
        <v>431</v>
      </c>
      <c r="AE14" s="182" t="s">
        <v>307</v>
      </c>
      <c r="AF14" s="183" t="s">
        <v>432</v>
      </c>
      <c r="AG14" s="182">
        <v>0.343</v>
      </c>
      <c r="AH14" s="182" t="s">
        <v>137</v>
      </c>
      <c r="AI14" s="182" t="s">
        <v>214</v>
      </c>
      <c r="AJ14" s="182">
        <v>0.06</v>
      </c>
      <c r="AK14" s="182" t="s">
        <v>119</v>
      </c>
      <c r="AL14" s="182" t="s">
        <v>433</v>
      </c>
      <c r="AM14" s="182">
        <v>0.398</v>
      </c>
      <c r="AN14" s="182" t="s">
        <v>434</v>
      </c>
      <c r="AO14" s="182" t="s">
        <v>435</v>
      </c>
      <c r="AP14" s="182">
        <v>0.145</v>
      </c>
      <c r="AQ14" s="182" t="s">
        <v>436</v>
      </c>
      <c r="AR14" s="182" t="s">
        <v>311</v>
      </c>
      <c r="AS14" s="182">
        <v>0.285</v>
      </c>
      <c r="AT14" s="182" t="s">
        <v>323</v>
      </c>
      <c r="AU14" s="182" t="s">
        <v>437</v>
      </c>
      <c r="AV14" s="184">
        <v>0.115</v>
      </c>
      <c r="AW14" s="182" t="s">
        <v>402</v>
      </c>
      <c r="AX14" s="182" t="s">
        <v>302</v>
      </c>
      <c r="AY14" s="185">
        <v>0.045</v>
      </c>
      <c r="AZ14" s="182" t="s">
        <v>438</v>
      </c>
      <c r="BA14" s="182" t="s">
        <v>439</v>
      </c>
      <c r="BB14" s="185">
        <v>0.054</v>
      </c>
      <c r="BC14" s="182" t="s">
        <v>440</v>
      </c>
      <c r="BD14" s="182" t="s">
        <v>193</v>
      </c>
      <c r="BE14" s="185">
        <v>0.181</v>
      </c>
      <c r="BF14" s="182" t="s">
        <v>289</v>
      </c>
      <c r="BG14" s="182" t="s">
        <v>356</v>
      </c>
      <c r="BH14" s="185">
        <v>0.087</v>
      </c>
      <c r="BI14" s="182" t="s">
        <v>303</v>
      </c>
      <c r="BJ14" s="182" t="s">
        <v>164</v>
      </c>
      <c r="BK14" s="185">
        <v>0.115</v>
      </c>
      <c r="BL14" s="185">
        <v>0.701</v>
      </c>
      <c r="BM14" s="185">
        <v>0.736</v>
      </c>
      <c r="BN14" s="185">
        <v>0.087</v>
      </c>
      <c r="BO14" s="185">
        <v>0.725</v>
      </c>
      <c r="BP14" s="185">
        <v>0.721</v>
      </c>
      <c r="BQ14" s="182"/>
      <c r="BR14" s="182"/>
      <c r="BS14" s="183"/>
      <c r="BT14" s="182">
        <v>0.892</v>
      </c>
      <c r="BU14" s="182" t="s">
        <v>441</v>
      </c>
      <c r="BV14" s="182" t="s">
        <v>244</v>
      </c>
      <c r="BW14" s="182" t="s">
        <v>138</v>
      </c>
      <c r="BX14" s="182" t="s">
        <v>442</v>
      </c>
      <c r="BY14" s="182">
        <v>0.909</v>
      </c>
      <c r="BZ14" s="182" t="s">
        <v>443</v>
      </c>
      <c r="CA14" s="182" t="s">
        <v>444</v>
      </c>
      <c r="CB14" s="182" t="s">
        <v>445</v>
      </c>
      <c r="CC14" s="182" t="s">
        <v>57</v>
      </c>
      <c r="CD14" s="182" t="s">
        <v>238</v>
      </c>
      <c r="CE14" s="182" t="s">
        <v>446</v>
      </c>
      <c r="CF14" s="182" t="s">
        <v>447</v>
      </c>
      <c r="CG14" s="182" t="s">
        <v>448</v>
      </c>
      <c r="CH14" s="185">
        <v>0.9877300613</v>
      </c>
      <c r="CI14" s="185">
        <v>0.9664810554</v>
      </c>
      <c r="CJ14" s="185">
        <v>0.9746932515</v>
      </c>
      <c r="CK14" s="185">
        <v>0.8629190686</v>
      </c>
      <c r="CL14" s="185">
        <v>0.6243669771</v>
      </c>
      <c r="CM14" s="186">
        <v>0.611</v>
      </c>
      <c r="CN14" s="186">
        <v>0.535</v>
      </c>
      <c r="CO14" s="186">
        <v>0.27</v>
      </c>
      <c r="CP14" s="186">
        <v>0.074</v>
      </c>
      <c r="CQ14" s="184">
        <v>0.758</v>
      </c>
      <c r="CR14" s="185">
        <v>0.755</v>
      </c>
      <c r="CS14" s="185">
        <v>0.506</v>
      </c>
      <c r="CT14" s="185">
        <v>0.117</v>
      </c>
      <c r="CU14" s="185">
        <v>0.485</v>
      </c>
      <c r="CV14" s="185">
        <v>0.327</v>
      </c>
      <c r="CW14" s="185">
        <v>0.225</v>
      </c>
      <c r="CX14" s="185">
        <v>0.821</v>
      </c>
      <c r="CY14" s="185">
        <v>0.808</v>
      </c>
      <c r="CZ14" s="185">
        <v>0.627</v>
      </c>
      <c r="DA14" s="185">
        <v>0.226</v>
      </c>
      <c r="DB14" s="185">
        <v>0.584</v>
      </c>
      <c r="DC14" s="185">
        <v>0.362</v>
      </c>
      <c r="DD14" s="185">
        <v>0.29</v>
      </c>
      <c r="DE14" s="185">
        <v>0.651</v>
      </c>
      <c r="DF14" s="185">
        <v>0.661</v>
      </c>
      <c r="DG14" s="185">
        <v>0.492</v>
      </c>
      <c r="DH14" s="185">
        <v>0.1</v>
      </c>
      <c r="DI14" s="185">
        <v>0.272</v>
      </c>
      <c r="DJ14" s="185">
        <v>0.133</v>
      </c>
      <c r="DK14" s="185">
        <v>0.109</v>
      </c>
      <c r="DL14" s="185">
        <v>0.966</v>
      </c>
      <c r="DM14" s="185" t="s">
        <v>449</v>
      </c>
      <c r="DN14" s="185" t="s">
        <v>450</v>
      </c>
      <c r="DO14" s="185" t="s">
        <v>437</v>
      </c>
      <c r="DP14" s="187" t="s">
        <v>133</v>
      </c>
      <c r="DQ14" s="185">
        <v>0.218</v>
      </c>
      <c r="DR14" s="185">
        <v>0.646</v>
      </c>
      <c r="DS14" s="185">
        <v>0.584</v>
      </c>
      <c r="DT14" s="185">
        <v>0.223</v>
      </c>
      <c r="DU14" s="185">
        <v>0.09</v>
      </c>
      <c r="DV14" s="188"/>
      <c r="DW14" s="188"/>
      <c r="DX14" s="188"/>
      <c r="DY14" s="188"/>
      <c r="DZ14" s="189">
        <f t="shared" ref="DZ14:ED14" si="51">IFERROR(AVERAGE(IFERROR(VALUE(C14),""),IFERROR(VALUE(H14),""),IFERROR(VALUE(M14),""),IFERROR(VALUE(R14),""),IFERROR(VALUE(W14),""),IFERROR(VALUE(AB14),"")),"")</f>
        <v>0.6513333333</v>
      </c>
      <c r="EA14" s="190">
        <f t="shared" si="51"/>
        <v>0.7206666667</v>
      </c>
      <c r="EB14" s="191">
        <f t="shared" si="51"/>
        <v>0.517</v>
      </c>
      <c r="EC14" s="192">
        <f t="shared" si="51"/>
        <v>0.4856666667</v>
      </c>
      <c r="ED14" s="193">
        <f t="shared" si="51"/>
        <v>0.268</v>
      </c>
      <c r="EE14" s="194">
        <f t="shared" ref="EE14:EG14" si="52">IFERROR(AVERAGE(IFERROR(VALUE(AG14),""),IFERROR(VALUE(AJ14),""),IFERROR(VALUE(AM14),""),IFERROR(VALUE(AP14),""),IFERROR(VALUE(AS14),"")),"")</f>
        <v>0.2462</v>
      </c>
      <c r="EF14" s="195">
        <f t="shared" si="52"/>
        <v>0.6698</v>
      </c>
      <c r="EG14" s="196">
        <f t="shared" si="52"/>
        <v>0.5176</v>
      </c>
      <c r="EH14" s="195">
        <v>0.655</v>
      </c>
      <c r="EI14" s="197">
        <v>0.687</v>
      </c>
      <c r="EJ14" s="198">
        <f t="shared" si="43"/>
        <v>0.9295766871</v>
      </c>
      <c r="EK14" s="195">
        <f t="shared" si="44"/>
        <v>0.7596202639</v>
      </c>
      <c r="EL14" s="199">
        <f t="shared" si="45"/>
        <v>0.7016733129</v>
      </c>
      <c r="EM14" s="195">
        <f t="shared" si="46"/>
        <v>0.4812297672</v>
      </c>
      <c r="EN14" s="200">
        <f t="shared" si="47"/>
        <v>0.2688417443</v>
      </c>
      <c r="EO14" s="201">
        <v>0.966</v>
      </c>
      <c r="EP14" s="190">
        <f t="shared" ref="EP14:EQ14" si="53">IFERROR(AVERAGE(IFERROR(VALUE(CQ14),""),IFERROR(VALUE(CX14),""),IFERROR(VALUE(DE14),""),IFERROR(VALUE(DM14),"")),"")</f>
        <v>0.76325</v>
      </c>
      <c r="EQ14" s="202">
        <f t="shared" si="53"/>
        <v>0.79025</v>
      </c>
      <c r="ER14" s="203">
        <f t="shared" ref="ER14:ES14" si="54">IFERROR(AVERAGE(IFERROR(VALUE(CU14),""),IFERROR(VALUE(DB14),""),IFERROR(VALUE(DI14),""),IFERROR(VALUE(DO14),"")),"")</f>
        <v>0.48075</v>
      </c>
      <c r="ES14" s="204">
        <f t="shared" si="54"/>
        <v>0.32575</v>
      </c>
      <c r="ET14" s="205">
        <f t="shared" ref="ET14:EU14" si="55">IFERROR(AVERAGE(IFERROR(VALUE(CS14),""),IFERROR(VALUE(CZ14),""),IFERROR(VALUE(DG14),"")),"")</f>
        <v>0.5416666667</v>
      </c>
      <c r="EU14" s="206">
        <f t="shared" si="55"/>
        <v>0.1476666667</v>
      </c>
      <c r="EV14" s="207">
        <v>0.61</v>
      </c>
      <c r="EW14" s="207">
        <v>0.098</v>
      </c>
    </row>
    <row r="15">
      <c r="A15" s="52"/>
      <c r="B15" s="142" t="s">
        <v>451</v>
      </c>
      <c r="C15" s="25">
        <v>0.906</v>
      </c>
      <c r="D15" s="26" t="s">
        <v>251</v>
      </c>
      <c r="E15" s="26" t="s">
        <v>232</v>
      </c>
      <c r="F15" s="26" t="s">
        <v>452</v>
      </c>
      <c r="G15" s="26" t="s">
        <v>453</v>
      </c>
      <c r="H15" s="26">
        <v>0.78</v>
      </c>
      <c r="I15" s="26" t="s">
        <v>454</v>
      </c>
      <c r="J15" s="26" t="s">
        <v>167</v>
      </c>
      <c r="K15" s="26" t="s">
        <v>455</v>
      </c>
      <c r="L15" s="26" t="s">
        <v>456</v>
      </c>
      <c r="M15" s="26">
        <v>0.752</v>
      </c>
      <c r="N15" s="26" t="s">
        <v>201</v>
      </c>
      <c r="O15" s="26" t="s">
        <v>367</v>
      </c>
      <c r="P15" s="26" t="s">
        <v>457</v>
      </c>
      <c r="Q15" s="26" t="s">
        <v>388</v>
      </c>
      <c r="R15" s="26">
        <v>0.633</v>
      </c>
      <c r="S15" s="26" t="s">
        <v>259</v>
      </c>
      <c r="T15" s="26" t="s">
        <v>458</v>
      </c>
      <c r="U15" s="26" t="s">
        <v>459</v>
      </c>
      <c r="V15" s="26" t="s">
        <v>460</v>
      </c>
      <c r="W15" s="26">
        <v>0.921</v>
      </c>
      <c r="X15" s="26" t="s">
        <v>283</v>
      </c>
      <c r="Y15" s="26" t="s">
        <v>132</v>
      </c>
      <c r="Z15" s="26" t="s">
        <v>375</v>
      </c>
      <c r="AA15" s="26" t="s">
        <v>442</v>
      </c>
      <c r="AB15" s="26">
        <v>0.723</v>
      </c>
      <c r="AC15" s="26" t="s">
        <v>251</v>
      </c>
      <c r="AD15" s="26" t="s">
        <v>87</v>
      </c>
      <c r="AE15" s="26" t="s">
        <v>62</v>
      </c>
      <c r="AF15" s="27" t="s">
        <v>178</v>
      </c>
      <c r="AG15" s="26">
        <v>0.501</v>
      </c>
      <c r="AH15" s="26" t="s">
        <v>443</v>
      </c>
      <c r="AI15" s="26" t="s">
        <v>461</v>
      </c>
      <c r="AJ15" s="26">
        <v>0.12</v>
      </c>
      <c r="AK15" s="26" t="s">
        <v>244</v>
      </c>
      <c r="AL15" s="26" t="s">
        <v>217</v>
      </c>
      <c r="AM15" s="26">
        <v>0.486</v>
      </c>
      <c r="AN15" s="26" t="s">
        <v>265</v>
      </c>
      <c r="AO15" s="26" t="s">
        <v>462</v>
      </c>
      <c r="AP15" s="26">
        <v>0.258</v>
      </c>
      <c r="AQ15" s="26" t="s">
        <v>78</v>
      </c>
      <c r="AR15" s="26" t="s">
        <v>139</v>
      </c>
      <c r="AS15" s="26">
        <v>0.459</v>
      </c>
      <c r="AT15" s="26" t="s">
        <v>241</v>
      </c>
      <c r="AU15" s="26" t="s">
        <v>463</v>
      </c>
      <c r="AV15" s="28">
        <v>0.283</v>
      </c>
      <c r="AW15" s="26" t="s">
        <v>464</v>
      </c>
      <c r="AX15" s="26" t="s">
        <v>465</v>
      </c>
      <c r="AY15" s="29">
        <v>0.128</v>
      </c>
      <c r="AZ15" s="26" t="s">
        <v>198</v>
      </c>
      <c r="BA15" s="26" t="s">
        <v>466</v>
      </c>
      <c r="BB15" s="29">
        <v>0.263</v>
      </c>
      <c r="BC15" s="26" t="s">
        <v>246</v>
      </c>
      <c r="BD15" s="26" t="s">
        <v>452</v>
      </c>
      <c r="BE15" s="29">
        <v>0.454</v>
      </c>
      <c r="BF15" s="26" t="s">
        <v>464</v>
      </c>
      <c r="BG15" s="26" t="s">
        <v>167</v>
      </c>
      <c r="BH15" s="29">
        <v>0.383</v>
      </c>
      <c r="BI15" s="26" t="s">
        <v>467</v>
      </c>
      <c r="BJ15" s="26" t="s">
        <v>468</v>
      </c>
      <c r="BK15" s="29">
        <v>0.231</v>
      </c>
      <c r="BL15" s="29">
        <v>0.759</v>
      </c>
      <c r="BM15" s="29">
        <v>0.843</v>
      </c>
      <c r="BN15" s="29">
        <v>0.212</v>
      </c>
      <c r="BO15" s="30">
        <v>0.738</v>
      </c>
      <c r="BP15" s="30">
        <v>0.837</v>
      </c>
      <c r="BQ15" s="26"/>
      <c r="BR15" s="72"/>
      <c r="BS15" s="146"/>
      <c r="BT15" s="26">
        <v>0.914</v>
      </c>
      <c r="BU15" s="26" t="s">
        <v>469</v>
      </c>
      <c r="BV15" s="26" t="s">
        <v>331</v>
      </c>
      <c r="BW15" s="26" t="s">
        <v>164</v>
      </c>
      <c r="BX15" s="26" t="s">
        <v>470</v>
      </c>
      <c r="BY15" s="26">
        <v>0.94</v>
      </c>
      <c r="BZ15" s="26" t="s">
        <v>464</v>
      </c>
      <c r="CA15" s="26" t="s">
        <v>91</v>
      </c>
      <c r="CB15" s="26" t="s">
        <v>72</v>
      </c>
      <c r="CC15" s="26" t="s">
        <v>68</v>
      </c>
      <c r="CD15" s="26" t="s">
        <v>471</v>
      </c>
      <c r="CE15" s="26" t="s">
        <v>82</v>
      </c>
      <c r="CF15" s="26" t="s">
        <v>332</v>
      </c>
      <c r="CG15" s="26" t="s">
        <v>472</v>
      </c>
      <c r="CH15" s="29">
        <v>0.9913087935</v>
      </c>
      <c r="CI15" s="29">
        <v>0.9637194789</v>
      </c>
      <c r="CJ15" s="29">
        <v>0.98900818</v>
      </c>
      <c r="CK15" s="29">
        <v>0.903314342</v>
      </c>
      <c r="CL15" s="29">
        <v>0.6834013812</v>
      </c>
      <c r="CM15" s="31">
        <v>0.717</v>
      </c>
      <c r="CN15" s="31">
        <v>0.726</v>
      </c>
      <c r="CO15" s="31">
        <v>0.443</v>
      </c>
      <c r="CP15" s="31">
        <v>0.183</v>
      </c>
      <c r="CQ15" s="28">
        <v>0.784</v>
      </c>
      <c r="CR15" s="29">
        <v>0.93</v>
      </c>
      <c r="CS15" s="29">
        <v>0.532</v>
      </c>
      <c r="CT15" s="29">
        <v>0.199</v>
      </c>
      <c r="CU15" s="29">
        <v>0.606</v>
      </c>
      <c r="CV15" s="29">
        <v>0.381</v>
      </c>
      <c r="CW15" s="29">
        <v>0.14</v>
      </c>
      <c r="CX15" s="29">
        <v>0.935</v>
      </c>
      <c r="CY15" s="29">
        <v>0.978</v>
      </c>
      <c r="CZ15" s="29">
        <v>0.73</v>
      </c>
      <c r="DA15" s="29">
        <v>0.325</v>
      </c>
      <c r="DB15" s="29">
        <v>0.894</v>
      </c>
      <c r="DC15" s="29">
        <v>0.797</v>
      </c>
      <c r="DD15" s="29">
        <v>0.346</v>
      </c>
      <c r="DE15" s="29">
        <v>0.634</v>
      </c>
      <c r="DF15" s="29">
        <v>0.824</v>
      </c>
      <c r="DG15" s="29">
        <v>0.557</v>
      </c>
      <c r="DH15" s="29">
        <v>0.334</v>
      </c>
      <c r="DI15" s="29">
        <v>0.291</v>
      </c>
      <c r="DJ15" s="29">
        <v>0.112</v>
      </c>
      <c r="DK15" s="29">
        <v>0.361</v>
      </c>
      <c r="DL15" s="29">
        <v>0.982</v>
      </c>
      <c r="DM15" s="29" t="s">
        <v>454</v>
      </c>
      <c r="DN15" s="29" t="s">
        <v>473</v>
      </c>
      <c r="DO15" s="29" t="s">
        <v>474</v>
      </c>
      <c r="DP15" s="32" t="s">
        <v>262</v>
      </c>
      <c r="DQ15" s="29">
        <v>0.535</v>
      </c>
      <c r="DR15" s="29">
        <v>0.661</v>
      </c>
      <c r="DS15" s="29">
        <v>0.848</v>
      </c>
      <c r="DT15" s="29">
        <v>0.304</v>
      </c>
      <c r="DU15" s="29">
        <v>0.128</v>
      </c>
      <c r="DZ15" s="208">
        <f t="shared" ref="DZ15:ED15" si="56">IFERROR(AVERAGE(IFERROR(VALUE(C15),""),IFERROR(VALUE(H15),""),IFERROR(VALUE(M15),""),IFERROR(VALUE(R15),""),IFERROR(VALUE(W15),""),IFERROR(VALUE(AB15),"")),"")</f>
        <v>0.7858333333</v>
      </c>
      <c r="EA15" s="70">
        <f t="shared" si="56"/>
        <v>0.7993333333</v>
      </c>
      <c r="EB15" s="209">
        <f t="shared" si="56"/>
        <v>0.7183333333</v>
      </c>
      <c r="EC15" s="134">
        <f t="shared" si="56"/>
        <v>0.5633333333</v>
      </c>
      <c r="ED15" s="210">
        <f t="shared" si="56"/>
        <v>0.2831666667</v>
      </c>
      <c r="EE15" s="211">
        <f t="shared" ref="EE15:EG15" si="57">IFERROR(AVERAGE(IFERROR(VALUE(AG15),""),IFERROR(VALUE(AJ15),""),IFERROR(VALUE(AM15),""),IFERROR(VALUE(AP15),""),IFERROR(VALUE(AS15),"")),"")</f>
        <v>0.3648</v>
      </c>
      <c r="EF15" s="212">
        <f t="shared" si="57"/>
        <v>0.6952</v>
      </c>
      <c r="EG15" s="39">
        <f t="shared" si="57"/>
        <v>0.6196</v>
      </c>
      <c r="EH15" s="177">
        <v>0.704</v>
      </c>
      <c r="EI15" s="213">
        <v>0.829</v>
      </c>
      <c r="EJ15" s="214">
        <f t="shared" si="43"/>
        <v>0.9484362645</v>
      </c>
      <c r="EK15" s="215">
        <f t="shared" si="44"/>
        <v>0.8064298697</v>
      </c>
      <c r="EL15" s="216">
        <f t="shared" si="45"/>
        <v>0.791002045</v>
      </c>
      <c r="EM15" s="217">
        <f t="shared" si="46"/>
        <v>0.5675785855</v>
      </c>
      <c r="EN15" s="218">
        <f t="shared" si="47"/>
        <v>0.3271003453</v>
      </c>
      <c r="EO15" s="219">
        <v>0.982</v>
      </c>
      <c r="EP15" s="220">
        <f t="shared" ref="EP15:EQ15" si="58">IFERROR(AVERAGE(IFERROR(VALUE(CQ15),""),IFERROR(VALUE(CX15),""),IFERROR(VALUE(DE15),""),IFERROR(VALUE(DM15),"")),"")</f>
        <v>0.81625</v>
      </c>
      <c r="EQ15" s="221">
        <f t="shared" si="58"/>
        <v>0.921</v>
      </c>
      <c r="ER15" s="222">
        <f t="shared" ref="ER15:ES15" si="59">IFERROR(AVERAGE(IFERROR(VALUE(CU15),""),IFERROR(VALUE(DB15),""),IFERROR(VALUE(DI15),""),IFERROR(VALUE(DO15),"")),"")</f>
        <v>0.628</v>
      </c>
      <c r="ES15" s="150">
        <f t="shared" si="59"/>
        <v>0.48925</v>
      </c>
      <c r="ET15" s="223">
        <f t="shared" ref="ET15:EU15" si="60">IFERROR(AVERAGE(IFERROR(VALUE(CS15),""),IFERROR(VALUE(CZ15),""),IFERROR(VALUE(DG15),"")),"")</f>
        <v>0.6063333333</v>
      </c>
      <c r="EU15" s="164">
        <f t="shared" si="60"/>
        <v>0.286</v>
      </c>
      <c r="EV15" s="51">
        <v>0.683</v>
      </c>
      <c r="EW15" s="51">
        <v>0.279</v>
      </c>
    </row>
    <row r="16">
      <c r="B16" s="224" t="s">
        <v>475</v>
      </c>
      <c r="C16" s="26">
        <v>0.9</v>
      </c>
      <c r="D16" s="26" t="s">
        <v>190</v>
      </c>
      <c r="E16" s="26" t="s">
        <v>476</v>
      </c>
      <c r="F16" s="26" t="s">
        <v>186</v>
      </c>
      <c r="G16" s="26" t="s">
        <v>477</v>
      </c>
      <c r="H16" s="26">
        <v>0.772</v>
      </c>
      <c r="I16" s="26" t="s">
        <v>478</v>
      </c>
      <c r="J16" s="26" t="s">
        <v>479</v>
      </c>
      <c r="K16" s="26" t="s">
        <v>366</v>
      </c>
      <c r="L16" s="26" t="s">
        <v>252</v>
      </c>
      <c r="M16" s="26">
        <v>0.75</v>
      </c>
      <c r="N16" s="26" t="s">
        <v>58</v>
      </c>
      <c r="O16" s="26" t="s">
        <v>194</v>
      </c>
      <c r="P16" s="26" t="s">
        <v>294</v>
      </c>
      <c r="Q16" s="26" t="s">
        <v>442</v>
      </c>
      <c r="R16" s="26">
        <v>0.649</v>
      </c>
      <c r="S16" s="26" t="s">
        <v>410</v>
      </c>
      <c r="T16" s="26" t="s">
        <v>299</v>
      </c>
      <c r="U16" s="26" t="s">
        <v>207</v>
      </c>
      <c r="V16" s="26" t="s">
        <v>480</v>
      </c>
      <c r="W16" s="26">
        <v>0.899</v>
      </c>
      <c r="X16" s="26" t="s">
        <v>452</v>
      </c>
      <c r="Y16" s="26" t="s">
        <v>115</v>
      </c>
      <c r="Z16" s="26" t="s">
        <v>481</v>
      </c>
      <c r="AA16" s="26" t="s">
        <v>482</v>
      </c>
      <c r="AB16" s="26">
        <v>0.83</v>
      </c>
      <c r="AC16" s="26" t="s">
        <v>461</v>
      </c>
      <c r="AD16" s="26" t="s">
        <v>378</v>
      </c>
      <c r="AE16" s="26" t="s">
        <v>483</v>
      </c>
      <c r="AF16" s="26" t="s">
        <v>272</v>
      </c>
      <c r="AG16" s="26">
        <v>0.528</v>
      </c>
      <c r="AH16" s="26" t="s">
        <v>484</v>
      </c>
      <c r="AI16" s="26" t="s">
        <v>485</v>
      </c>
      <c r="AJ16" s="26">
        <v>0.129</v>
      </c>
      <c r="AK16" s="26" t="s">
        <v>236</v>
      </c>
      <c r="AL16" s="26" t="s">
        <v>486</v>
      </c>
      <c r="AM16" s="26">
        <v>0.505</v>
      </c>
      <c r="AN16" s="26" t="s">
        <v>487</v>
      </c>
      <c r="AO16" s="26" t="s">
        <v>488</v>
      </c>
      <c r="AP16" s="26">
        <v>0.166</v>
      </c>
      <c r="AQ16" s="26" t="s">
        <v>63</v>
      </c>
      <c r="AR16" s="26" t="s">
        <v>489</v>
      </c>
      <c r="AS16" s="26">
        <v>0.482</v>
      </c>
      <c r="AT16" s="26" t="s">
        <v>490</v>
      </c>
      <c r="AU16" s="26" t="s">
        <v>150</v>
      </c>
      <c r="AV16" s="29">
        <v>0.276</v>
      </c>
      <c r="AW16" s="26" t="s">
        <v>439</v>
      </c>
      <c r="AX16" s="26" t="s">
        <v>491</v>
      </c>
      <c r="AY16" s="29">
        <v>0.137</v>
      </c>
      <c r="AZ16" s="26" t="s">
        <v>347</v>
      </c>
      <c r="BA16" s="26" t="s">
        <v>492</v>
      </c>
      <c r="BB16" s="29">
        <v>0.273</v>
      </c>
      <c r="BC16" s="26" t="s">
        <v>403</v>
      </c>
      <c r="BD16" s="26" t="s">
        <v>493</v>
      </c>
      <c r="BE16" s="29">
        <v>0.473</v>
      </c>
      <c r="BF16" s="26" t="s">
        <v>268</v>
      </c>
      <c r="BG16" s="26" t="s">
        <v>366</v>
      </c>
      <c r="BH16" s="29">
        <v>0.375</v>
      </c>
      <c r="BI16" s="26" t="s">
        <v>494</v>
      </c>
      <c r="BJ16" s="26" t="s">
        <v>318</v>
      </c>
      <c r="BK16" s="29">
        <v>0.22</v>
      </c>
      <c r="BL16" s="30">
        <v>0.749</v>
      </c>
      <c r="BM16" s="30">
        <v>0.848</v>
      </c>
      <c r="BN16" s="29">
        <v>0.196</v>
      </c>
      <c r="BO16" s="30">
        <v>0.77</v>
      </c>
      <c r="BP16" s="30">
        <v>0.851</v>
      </c>
      <c r="BQ16" s="26"/>
      <c r="BR16" s="26"/>
      <c r="BS16" s="26"/>
      <c r="BT16" s="26">
        <v>0.932</v>
      </c>
      <c r="BU16" s="26" t="s">
        <v>158</v>
      </c>
      <c r="BV16" s="26" t="s">
        <v>495</v>
      </c>
      <c r="BW16" s="26" t="s">
        <v>289</v>
      </c>
      <c r="BX16" s="26" t="s">
        <v>496</v>
      </c>
      <c r="BY16" s="26">
        <v>0.962</v>
      </c>
      <c r="BZ16" s="26" t="s">
        <v>150</v>
      </c>
      <c r="CA16" s="26" t="s">
        <v>497</v>
      </c>
      <c r="CB16" s="26" t="s">
        <v>498</v>
      </c>
      <c r="CC16" s="26" t="s">
        <v>499</v>
      </c>
      <c r="CD16" s="26" t="s">
        <v>500</v>
      </c>
      <c r="CE16" s="26" t="s">
        <v>303</v>
      </c>
      <c r="CF16" s="26" t="s">
        <v>437</v>
      </c>
      <c r="CG16" s="26" t="s">
        <v>217</v>
      </c>
      <c r="CH16" s="29">
        <v>0.9933537832</v>
      </c>
      <c r="CI16" s="29">
        <v>0.9872838721</v>
      </c>
      <c r="CJ16" s="29">
        <v>0.9915644172</v>
      </c>
      <c r="CK16" s="29">
        <v>0.9213359746</v>
      </c>
      <c r="CL16" s="29">
        <v>0.7710512126</v>
      </c>
      <c r="CM16" s="225">
        <v>0.748</v>
      </c>
      <c r="CN16" s="31">
        <v>0.746</v>
      </c>
      <c r="CO16" s="31">
        <v>0.444</v>
      </c>
      <c r="CP16" s="31">
        <v>0.166</v>
      </c>
      <c r="CQ16" s="29">
        <v>0.786</v>
      </c>
      <c r="CR16" s="29">
        <v>0.905</v>
      </c>
      <c r="CS16" s="29">
        <v>0.546</v>
      </c>
      <c r="CT16" s="29">
        <v>0.233</v>
      </c>
      <c r="CU16" s="29">
        <v>0.635</v>
      </c>
      <c r="CV16" s="29">
        <v>0.379</v>
      </c>
      <c r="CW16" s="29">
        <v>0.273</v>
      </c>
      <c r="CX16" s="29">
        <v>0.951</v>
      </c>
      <c r="CY16" s="29">
        <v>0.978</v>
      </c>
      <c r="CZ16" s="29">
        <v>0.776</v>
      </c>
      <c r="DA16" s="29">
        <v>0.412</v>
      </c>
      <c r="DB16" s="29">
        <v>0.878</v>
      </c>
      <c r="DC16" s="29">
        <v>0.771</v>
      </c>
      <c r="DD16" s="29">
        <v>0.496</v>
      </c>
      <c r="DE16" s="29">
        <v>0.646</v>
      </c>
      <c r="DF16" s="29">
        <v>0.85</v>
      </c>
      <c r="DG16" s="29">
        <v>0.567</v>
      </c>
      <c r="DH16" s="29">
        <v>0.364</v>
      </c>
      <c r="DI16" s="29">
        <v>0.304</v>
      </c>
      <c r="DJ16" s="29">
        <v>0.146</v>
      </c>
      <c r="DK16" s="29">
        <v>0.372</v>
      </c>
      <c r="DL16" s="29">
        <v>0.984</v>
      </c>
      <c r="DM16" s="29" t="s">
        <v>501</v>
      </c>
      <c r="DN16" s="29" t="s">
        <v>502</v>
      </c>
      <c r="DO16" s="29" t="s">
        <v>293</v>
      </c>
      <c r="DP16" s="29" t="s">
        <v>135</v>
      </c>
      <c r="DQ16" s="29">
        <v>0.578</v>
      </c>
      <c r="DR16" s="29">
        <v>0.661</v>
      </c>
      <c r="DS16" s="29">
        <v>0.848</v>
      </c>
      <c r="DT16" s="29">
        <v>0.364</v>
      </c>
      <c r="DU16" s="29">
        <v>0.192</v>
      </c>
      <c r="DZ16" s="149">
        <f t="shared" ref="DZ16:ED16" si="61">IFERROR(AVERAGE(IFERROR(VALUE(C16),""),IFERROR(VALUE(H16),""),IFERROR(VALUE(M16),""),IFERROR(VALUE(R16),""),IFERROR(VALUE(W16),""),IFERROR(VALUE(AB16),"")),"")</f>
        <v>0.8</v>
      </c>
      <c r="EA16" s="226">
        <f t="shared" si="61"/>
        <v>0.8093333333</v>
      </c>
      <c r="EB16" s="227">
        <f t="shared" si="61"/>
        <v>0.7108333333</v>
      </c>
      <c r="EC16" s="130">
        <f t="shared" si="61"/>
        <v>0.5843333333</v>
      </c>
      <c r="ED16" s="228">
        <f t="shared" si="61"/>
        <v>0.3175</v>
      </c>
      <c r="EE16" s="229">
        <f t="shared" ref="EE16:EG16" si="62">IFERROR(AVERAGE(IFERROR(VALUE(AG16),""),IFERROR(VALUE(AJ16),""),IFERROR(VALUE(AM16),""),IFERROR(VALUE(AP16),""),IFERROR(VALUE(AS16),"")),"")</f>
        <v>0.362</v>
      </c>
      <c r="EF16" s="230">
        <f t="shared" si="62"/>
        <v>0.7124</v>
      </c>
      <c r="EG16" s="170">
        <f t="shared" si="62"/>
        <v>0.6154</v>
      </c>
      <c r="EH16" s="98">
        <v>0.707</v>
      </c>
      <c r="EI16" s="169">
        <v>0.842</v>
      </c>
      <c r="EJ16" s="139">
        <f t="shared" si="43"/>
        <v>0.9624512611</v>
      </c>
      <c r="EK16" s="139">
        <f t="shared" si="44"/>
        <v>0.829820968</v>
      </c>
      <c r="EL16" s="139">
        <f t="shared" si="45"/>
        <v>0.8128911043</v>
      </c>
      <c r="EM16" s="139">
        <f t="shared" si="46"/>
        <v>0.5820839937</v>
      </c>
      <c r="EN16" s="130">
        <f t="shared" si="47"/>
        <v>0.3575128032</v>
      </c>
      <c r="EO16" s="231">
        <v>0.984</v>
      </c>
      <c r="EP16" s="232">
        <f t="shared" ref="EP16:EQ16" si="63">IFERROR(AVERAGE(IFERROR(VALUE(CQ16),""),IFERROR(VALUE(CX16),""),IFERROR(VALUE(DE16),""),IFERROR(VALUE(DM16),"")),"")</f>
        <v>0.8245</v>
      </c>
      <c r="EQ16" s="233">
        <f t="shared" si="63"/>
        <v>0.92175</v>
      </c>
      <c r="ER16" s="234">
        <f t="shared" ref="ER16:ES16" si="64">IFERROR(AVERAGE(IFERROR(VALUE(CU16),""),IFERROR(VALUE(DB16),""),IFERROR(VALUE(DI16),""),IFERROR(VALUE(DO16),"")),"")</f>
        <v>0.6435</v>
      </c>
      <c r="ES16" s="235">
        <f t="shared" si="64"/>
        <v>0.504</v>
      </c>
      <c r="ET16" s="236">
        <f t="shared" ref="ET16:EU16" si="65">IFERROR(AVERAGE(IFERROR(VALUE(CS16),""),IFERROR(VALUE(CZ16),""),IFERROR(VALUE(DG16),"")),"")</f>
        <v>0.6296666667</v>
      </c>
      <c r="EU16" s="237">
        <f t="shared" si="65"/>
        <v>0.3363333333</v>
      </c>
      <c r="EV16" s="51">
        <v>0.688</v>
      </c>
      <c r="EW16" s="51">
        <v>0.279</v>
      </c>
    </row>
    <row r="17">
      <c r="A17" s="52"/>
      <c r="B17" s="142" t="s">
        <v>503</v>
      </c>
      <c r="C17" s="25">
        <v>0.917</v>
      </c>
      <c r="D17" s="26" t="s">
        <v>163</v>
      </c>
      <c r="E17" s="26" t="s">
        <v>504</v>
      </c>
      <c r="F17" s="26" t="s">
        <v>505</v>
      </c>
      <c r="G17" s="26" t="s">
        <v>121</v>
      </c>
      <c r="H17" s="26">
        <v>0.782</v>
      </c>
      <c r="I17" s="26" t="s">
        <v>506</v>
      </c>
      <c r="J17" s="26" t="s">
        <v>329</v>
      </c>
      <c r="K17" s="26" t="s">
        <v>396</v>
      </c>
      <c r="L17" s="26" t="s">
        <v>507</v>
      </c>
      <c r="M17" s="26">
        <v>0.741</v>
      </c>
      <c r="N17" s="26" t="s">
        <v>326</v>
      </c>
      <c r="O17" s="26" t="s">
        <v>508</v>
      </c>
      <c r="P17" s="26" t="s">
        <v>509</v>
      </c>
      <c r="Q17" s="26" t="s">
        <v>354</v>
      </c>
      <c r="R17" s="26">
        <v>0.637</v>
      </c>
      <c r="S17" s="26" t="s">
        <v>164</v>
      </c>
      <c r="T17" s="26" t="s">
        <v>510</v>
      </c>
      <c r="U17" s="26" t="s">
        <v>511</v>
      </c>
      <c r="V17" s="26" t="s">
        <v>512</v>
      </c>
      <c r="W17" s="26">
        <v>0.906</v>
      </c>
      <c r="X17" s="26" t="s">
        <v>513</v>
      </c>
      <c r="Y17" s="26" t="s">
        <v>514</v>
      </c>
      <c r="Z17" s="26" t="s">
        <v>515</v>
      </c>
      <c r="AA17" s="26" t="s">
        <v>516</v>
      </c>
      <c r="AB17" s="26">
        <v>0.728</v>
      </c>
      <c r="AC17" s="26" t="s">
        <v>290</v>
      </c>
      <c r="AD17" s="26" t="s">
        <v>508</v>
      </c>
      <c r="AE17" s="26" t="s">
        <v>517</v>
      </c>
      <c r="AF17" s="27" t="s">
        <v>518</v>
      </c>
      <c r="AG17" s="26">
        <v>0.513</v>
      </c>
      <c r="AH17" s="26" t="s">
        <v>484</v>
      </c>
      <c r="AI17" s="26" t="s">
        <v>519</v>
      </c>
      <c r="AJ17" s="26">
        <v>0.098</v>
      </c>
      <c r="AK17" s="26" t="s">
        <v>520</v>
      </c>
      <c r="AL17" s="26" t="s">
        <v>253</v>
      </c>
      <c r="AM17" s="26">
        <v>0.457</v>
      </c>
      <c r="AN17" s="26" t="s">
        <v>521</v>
      </c>
      <c r="AO17" s="26" t="s">
        <v>522</v>
      </c>
      <c r="AP17" s="26">
        <v>0.215</v>
      </c>
      <c r="AQ17" s="26" t="s">
        <v>410</v>
      </c>
      <c r="AR17" s="26" t="s">
        <v>55</v>
      </c>
      <c r="AS17" s="26">
        <v>0.489</v>
      </c>
      <c r="AT17" s="26" t="s">
        <v>523</v>
      </c>
      <c r="AU17" s="26" t="s">
        <v>524</v>
      </c>
      <c r="AV17" s="145"/>
      <c r="AW17" s="4">
        <v>0.7209203096266077</v>
      </c>
      <c r="AX17" s="4">
        <v>0.9868599909379248</v>
      </c>
      <c r="AY17" s="4"/>
      <c r="AZ17" s="4">
        <v>0.6137167815248857</v>
      </c>
      <c r="BA17" s="4">
        <v>0.8369108209780926</v>
      </c>
      <c r="BB17" s="4"/>
      <c r="BC17" s="4">
        <v>0.8308294723907068</v>
      </c>
      <c r="BD17" s="4">
        <v>0.7601890756302521</v>
      </c>
      <c r="BE17" s="4"/>
      <c r="BF17" s="4">
        <v>0.7264129914000336</v>
      </c>
      <c r="BG17" s="4">
        <v>0.7328385899814471</v>
      </c>
      <c r="BH17" s="4"/>
      <c r="BI17" s="4">
        <v>0.5469283887256469</v>
      </c>
      <c r="BJ17" s="4">
        <v>0.7797619047619048</v>
      </c>
      <c r="BK17" s="4"/>
      <c r="BL17" s="4">
        <v>0.7426075274383807</v>
      </c>
      <c r="BM17" s="4">
        <v>0.8416327783319266</v>
      </c>
      <c r="BN17" s="4"/>
      <c r="BO17" s="4"/>
      <c r="BP17" s="4"/>
      <c r="BQ17" s="4"/>
      <c r="BR17" s="4"/>
      <c r="BS17" s="238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9"/>
      <c r="CI17" s="29"/>
      <c r="CJ17" s="29"/>
      <c r="CK17" s="29"/>
      <c r="CL17" s="29"/>
      <c r="CM17" s="29"/>
      <c r="CN17" s="29"/>
      <c r="CO17" s="29"/>
      <c r="CP17" s="29"/>
      <c r="CQ17" s="28"/>
      <c r="CR17" s="29"/>
      <c r="CS17" s="29"/>
      <c r="CT17" s="29"/>
      <c r="CU17" s="29"/>
      <c r="CV17" s="29"/>
      <c r="CW17" s="29">
        <v>0.21</v>
      </c>
      <c r="CX17" s="29"/>
      <c r="CY17" s="29"/>
      <c r="CZ17" s="29"/>
      <c r="DA17" s="29"/>
      <c r="DB17" s="29"/>
      <c r="DC17" s="29"/>
      <c r="DD17" s="29">
        <v>0.455</v>
      </c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32"/>
      <c r="DQ17" s="29"/>
      <c r="DR17" s="29"/>
      <c r="DS17" s="29"/>
      <c r="DT17" s="29"/>
      <c r="DU17" s="29"/>
      <c r="DZ17" s="239">
        <f t="shared" ref="DZ17:ED17" si="66">IFERROR(AVERAGE(IFERROR(VALUE(C17),""),IFERROR(VALUE(H17),""),IFERROR(VALUE(M17),""),IFERROR(VALUE(R17),""),IFERROR(VALUE(W17),""),IFERROR(VALUE(AB17),"")),"")</f>
        <v>0.7851666667</v>
      </c>
      <c r="EA17" s="217">
        <f t="shared" si="66"/>
        <v>0.8001666667</v>
      </c>
      <c r="EB17" s="240">
        <f t="shared" si="66"/>
        <v>0.7083333333</v>
      </c>
      <c r="EC17" s="241">
        <f t="shared" si="66"/>
        <v>0.5515</v>
      </c>
      <c r="ED17" s="242">
        <f t="shared" si="66"/>
        <v>0.2806666667</v>
      </c>
      <c r="EE17" s="243">
        <f t="shared" ref="EE17:EG17" si="67">IFERROR(AVERAGE(IFERROR(VALUE(AG17),""),IFERROR(VALUE(AJ17),""),IFERROR(VALUE(AM17),""),IFERROR(VALUE(AP17),""),IFERROR(VALUE(AS17),"")),"")</f>
        <v>0.3544</v>
      </c>
      <c r="EF17" s="244">
        <f t="shared" si="67"/>
        <v>0.6936</v>
      </c>
      <c r="EG17" s="173">
        <f t="shared" si="67"/>
        <v>0.6058</v>
      </c>
      <c r="EH17" s="5"/>
      <c r="EI17" s="20"/>
      <c r="EJ17" s="145"/>
      <c r="EK17" s="245"/>
      <c r="EL17" s="246"/>
      <c r="EM17" s="247"/>
      <c r="EN17" s="248"/>
      <c r="EO17" s="145"/>
      <c r="EP17" s="4"/>
      <c r="EQ17" s="4"/>
      <c r="ER17" s="4"/>
      <c r="ES17" s="4"/>
      <c r="ET17" s="5"/>
      <c r="EU17" s="20"/>
      <c r="EV17" s="51"/>
      <c r="EW17" s="51"/>
    </row>
    <row r="18">
      <c r="A18" s="52"/>
      <c r="B18" s="142" t="s">
        <v>525</v>
      </c>
      <c r="C18" s="25">
        <v>0.903</v>
      </c>
      <c r="D18" s="26" t="s">
        <v>526</v>
      </c>
      <c r="E18" s="26" t="s">
        <v>86</v>
      </c>
      <c r="F18" s="26" t="s">
        <v>527</v>
      </c>
      <c r="G18" s="26" t="s">
        <v>255</v>
      </c>
      <c r="H18" s="26">
        <v>0.775</v>
      </c>
      <c r="I18" s="26" t="s">
        <v>528</v>
      </c>
      <c r="J18" s="26" t="s">
        <v>140</v>
      </c>
      <c r="K18" s="26" t="s">
        <v>104</v>
      </c>
      <c r="L18" s="26" t="s">
        <v>72</v>
      </c>
      <c r="M18" s="26">
        <v>0.741</v>
      </c>
      <c r="N18" s="26" t="s">
        <v>484</v>
      </c>
      <c r="O18" s="26" t="s">
        <v>412</v>
      </c>
      <c r="P18" s="26" t="s">
        <v>488</v>
      </c>
      <c r="Q18" s="26" t="s">
        <v>472</v>
      </c>
      <c r="R18" s="26">
        <v>0.632</v>
      </c>
      <c r="S18" s="26" t="s">
        <v>259</v>
      </c>
      <c r="T18" s="26" t="s">
        <v>182</v>
      </c>
      <c r="U18" s="26" t="s">
        <v>161</v>
      </c>
      <c r="V18" s="26" t="s">
        <v>529</v>
      </c>
      <c r="W18" s="26">
        <v>0.921</v>
      </c>
      <c r="X18" s="26" t="s">
        <v>77</v>
      </c>
      <c r="Y18" s="26" t="s">
        <v>116</v>
      </c>
      <c r="Z18" s="26" t="s">
        <v>467</v>
      </c>
      <c r="AA18" s="26" t="s">
        <v>530</v>
      </c>
      <c r="AB18" s="26">
        <v>0.762</v>
      </c>
      <c r="AC18" s="26" t="s">
        <v>531</v>
      </c>
      <c r="AD18" s="26" t="s">
        <v>143</v>
      </c>
      <c r="AE18" s="26" t="s">
        <v>62</v>
      </c>
      <c r="AF18" s="27" t="s">
        <v>178</v>
      </c>
      <c r="AG18" s="26">
        <v>0.522</v>
      </c>
      <c r="AH18" s="26" t="s">
        <v>117</v>
      </c>
      <c r="AI18" s="26" t="s">
        <v>163</v>
      </c>
      <c r="AJ18" s="26">
        <v>0.105</v>
      </c>
      <c r="AK18" s="26" t="s">
        <v>135</v>
      </c>
      <c r="AL18" s="26" t="s">
        <v>532</v>
      </c>
      <c r="AM18" s="26">
        <v>0.424</v>
      </c>
      <c r="AN18" s="26" t="s">
        <v>533</v>
      </c>
      <c r="AO18" s="26" t="s">
        <v>534</v>
      </c>
      <c r="AP18" s="26">
        <v>0.256</v>
      </c>
      <c r="AQ18" s="26" t="s">
        <v>164</v>
      </c>
      <c r="AR18" s="26" t="s">
        <v>535</v>
      </c>
      <c r="AS18" s="26">
        <v>0.458</v>
      </c>
      <c r="AT18" s="26" t="s">
        <v>536</v>
      </c>
      <c r="AU18" s="26" t="s">
        <v>479</v>
      </c>
      <c r="AV18" s="28"/>
      <c r="AW18" s="26"/>
      <c r="AX18" s="26"/>
      <c r="AY18" s="29"/>
      <c r="AZ18" s="26"/>
      <c r="BA18" s="26"/>
      <c r="BB18" s="29"/>
      <c r="BC18" s="26"/>
      <c r="BD18" s="26"/>
      <c r="BE18" s="29"/>
      <c r="BF18" s="26"/>
      <c r="BG18" s="26"/>
      <c r="BH18" s="29"/>
      <c r="BI18" s="26"/>
      <c r="BJ18" s="26"/>
      <c r="BK18" s="29"/>
      <c r="BL18" s="29"/>
      <c r="BM18" s="29"/>
      <c r="BN18" s="29"/>
      <c r="BO18" s="29"/>
      <c r="BP18" s="29"/>
      <c r="BQ18" s="26"/>
      <c r="BR18" s="26"/>
      <c r="BS18" s="27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9"/>
      <c r="CI18" s="29"/>
      <c r="CJ18" s="29"/>
      <c r="CK18" s="29"/>
      <c r="CL18" s="29"/>
      <c r="CM18" s="29"/>
      <c r="CN18" s="29"/>
      <c r="CO18" s="29"/>
      <c r="CP18" s="29"/>
      <c r="CQ18" s="28"/>
      <c r="CR18" s="29"/>
      <c r="CS18" s="29"/>
      <c r="CT18" s="29"/>
      <c r="CU18" s="29"/>
      <c r="CV18" s="29"/>
      <c r="CW18" s="29">
        <v>0.26</v>
      </c>
      <c r="CX18" s="29"/>
      <c r="CY18" s="29"/>
      <c r="CZ18" s="29"/>
      <c r="DA18" s="29"/>
      <c r="DB18" s="29"/>
      <c r="DC18" s="29"/>
      <c r="DD18" s="29">
        <v>0.514</v>
      </c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32"/>
      <c r="DQ18" s="29"/>
      <c r="DR18" s="29"/>
      <c r="DS18" s="29"/>
      <c r="DT18" s="29"/>
      <c r="DU18" s="29"/>
      <c r="DZ18" s="249">
        <f t="shared" ref="DZ18:ED18" si="68">IFERROR(AVERAGE(IFERROR(VALUE(C18),""),IFERROR(VALUE(H18),""),IFERROR(VALUE(M18),""),IFERROR(VALUE(R18),""),IFERROR(VALUE(W18),""),IFERROR(VALUE(AB18),"")),"")</f>
        <v>0.789</v>
      </c>
      <c r="EA18" s="223">
        <f t="shared" si="68"/>
        <v>0.8065</v>
      </c>
      <c r="EB18" s="135">
        <f t="shared" si="68"/>
        <v>0.7041666667</v>
      </c>
      <c r="EC18" s="89">
        <f t="shared" si="68"/>
        <v>0.5785</v>
      </c>
      <c r="ED18" s="250">
        <f t="shared" si="68"/>
        <v>0.318</v>
      </c>
      <c r="EE18" s="91">
        <f t="shared" ref="EE18:EG18" si="69">IFERROR(AVERAGE(IFERROR(VALUE(AG18),""),IFERROR(VALUE(AJ18),""),IFERROR(VALUE(AM18),""),IFERROR(VALUE(AP18),""),IFERROR(VALUE(AS18),"")),"")</f>
        <v>0.353</v>
      </c>
      <c r="EF18" s="251">
        <f t="shared" si="69"/>
        <v>0.694</v>
      </c>
      <c r="EG18" s="153">
        <f t="shared" si="69"/>
        <v>0.598</v>
      </c>
      <c r="EH18" s="5"/>
      <c r="EI18" s="20"/>
      <c r="EJ18" s="145"/>
      <c r="EK18" s="245"/>
      <c r="EL18" s="246"/>
      <c r="EM18" s="247"/>
      <c r="EN18" s="248"/>
      <c r="EO18" s="145"/>
      <c r="EP18" s="4"/>
      <c r="EQ18" s="4"/>
      <c r="ER18" s="4"/>
      <c r="ES18" s="4"/>
      <c r="ET18" s="5"/>
      <c r="EU18" s="20"/>
      <c r="EV18" s="51"/>
      <c r="EW18" s="51"/>
    </row>
    <row r="19">
      <c r="A19" s="52"/>
      <c r="B19" s="142" t="s">
        <v>537</v>
      </c>
      <c r="C19" s="145"/>
      <c r="D19" s="4">
        <v>0.7910686154409698</v>
      </c>
      <c r="E19" s="4">
        <v>0.5663716814159292</v>
      </c>
      <c r="F19" s="4">
        <v>0.5659017246499096</v>
      </c>
      <c r="G19" s="4">
        <v>0.1672717947050717</v>
      </c>
      <c r="H19" s="4"/>
      <c r="I19" s="4">
        <v>0.9196790752903021</v>
      </c>
      <c r="J19" s="4">
        <v>0.7726769911504425</v>
      </c>
      <c r="K19" s="4">
        <v>0.7773228523397714</v>
      </c>
      <c r="L19" s="4">
        <v>0.348347041714258</v>
      </c>
      <c r="M19" s="4"/>
      <c r="N19" s="4">
        <v>0.6788514755062698</v>
      </c>
      <c r="O19" s="4">
        <v>0.6546530392684239</v>
      </c>
      <c r="P19" s="4">
        <v>0.383059002786473</v>
      </c>
      <c r="Q19" s="4">
        <v>0.2327690506937689</v>
      </c>
      <c r="R19" s="4"/>
      <c r="S19" s="4">
        <v>0.6343722717755442</v>
      </c>
      <c r="T19" s="4">
        <v>0.456</v>
      </c>
      <c r="U19" s="4">
        <v>0.2235296602222543</v>
      </c>
      <c r="V19" s="4">
        <v>0.133230355449456</v>
      </c>
      <c r="W19" s="4"/>
      <c r="X19" s="4">
        <v>0.7518752664241769</v>
      </c>
      <c r="Y19" s="4">
        <v>0.7697841726618705</v>
      </c>
      <c r="Z19" s="4">
        <v>0.4696475819127786</v>
      </c>
      <c r="AA19" s="4">
        <v>0.2075263810054473</v>
      </c>
      <c r="AB19" s="4"/>
      <c r="AC19" s="4">
        <v>0.8814832361516034</v>
      </c>
      <c r="AD19" s="4">
        <v>0.68</v>
      </c>
      <c r="AE19" s="4">
        <v>0.7053986285088905</v>
      </c>
      <c r="AF19" s="238">
        <v>0.2686909428746233</v>
      </c>
      <c r="AG19" s="4"/>
      <c r="AH19" s="4">
        <v>0.6967057329321849</v>
      </c>
      <c r="AI19" s="4">
        <v>0.9366963402571711</v>
      </c>
      <c r="AJ19" s="4"/>
      <c r="AK19" s="4">
        <v>0.7348331961658667</v>
      </c>
      <c r="AL19" s="4">
        <v>0.269396551724138</v>
      </c>
      <c r="AM19" s="4"/>
      <c r="AN19" s="4">
        <v>0.5266187092769431</v>
      </c>
      <c r="AO19" s="4">
        <v>0.4126582278481012</v>
      </c>
      <c r="AP19" s="4"/>
      <c r="AQ19" s="4"/>
      <c r="AR19" s="4"/>
      <c r="AS19" s="4"/>
      <c r="AT19" s="4">
        <v>0.8560770341066201</v>
      </c>
      <c r="AU19" s="4">
        <v>0.7283090563647878</v>
      </c>
      <c r="AV19" s="145"/>
      <c r="AW19" s="4">
        <v>0.7362020300353838</v>
      </c>
      <c r="AX19" s="4">
        <v>0.9891255097417309</v>
      </c>
      <c r="AY19" s="4"/>
      <c r="AZ19" s="4">
        <v>0.6186335142230284</v>
      </c>
      <c r="BA19" s="4">
        <v>0.8504093826067715</v>
      </c>
      <c r="BB19" s="4"/>
      <c r="BC19" s="4">
        <v>0.8307104614712926</v>
      </c>
      <c r="BD19" s="4">
        <v>0.7681722689075631</v>
      </c>
      <c r="BE19" s="4"/>
      <c r="BF19" s="4">
        <v>0.7341485775247115</v>
      </c>
      <c r="BG19" s="4">
        <v>0.7606679035250464</v>
      </c>
      <c r="BH19" s="4"/>
      <c r="BI19" s="4">
        <v>0.538064279415285</v>
      </c>
      <c r="BJ19" s="4">
        <v>0.7872023809523809</v>
      </c>
      <c r="BK19" s="4"/>
      <c r="BL19" s="4">
        <v>0.7511494872270308</v>
      </c>
      <c r="BM19" s="4">
        <v>0.847157216297092</v>
      </c>
      <c r="BN19" s="4"/>
      <c r="BO19" s="4"/>
      <c r="BP19" s="4"/>
      <c r="BQ19" s="4"/>
      <c r="BR19" s="4"/>
      <c r="BS19" s="238"/>
      <c r="BT19" s="72"/>
      <c r="BU19" s="26"/>
      <c r="BV19" s="26"/>
      <c r="BW19" s="26"/>
      <c r="BX19" s="26"/>
      <c r="BY19" s="72"/>
      <c r="BZ19" s="26"/>
      <c r="CA19" s="26"/>
      <c r="CB19" s="26"/>
      <c r="CC19" s="26"/>
      <c r="CD19" s="26"/>
      <c r="CE19" s="26"/>
      <c r="CF19" s="26"/>
      <c r="CG19" s="26"/>
      <c r="CH19" s="29"/>
      <c r="CI19" s="29"/>
      <c r="CJ19" s="29"/>
      <c r="CK19" s="29"/>
      <c r="CL19" s="29"/>
      <c r="CM19" s="31"/>
      <c r="CN19" s="31"/>
      <c r="CO19" s="31"/>
      <c r="CP19" s="31"/>
      <c r="CQ19" s="28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32"/>
      <c r="DQ19" s="29"/>
      <c r="DR19" s="29"/>
      <c r="DS19" s="29"/>
      <c r="DT19" s="29"/>
      <c r="DU19" s="29"/>
      <c r="DZ19" s="108"/>
      <c r="EA19" s="41"/>
      <c r="EB19" s="74"/>
      <c r="EC19" s="35"/>
      <c r="ED19" s="252"/>
      <c r="EE19" s="253"/>
      <c r="EF19" s="254"/>
      <c r="EG19" s="255"/>
      <c r="EH19" s="229"/>
      <c r="EI19" s="57"/>
      <c r="EJ19" s="256"/>
      <c r="EK19" s="257"/>
      <c r="EL19" s="163"/>
      <c r="EM19" s="258"/>
      <c r="EN19" s="259"/>
      <c r="EO19" s="260"/>
      <c r="EP19" s="83"/>
      <c r="EQ19" s="41"/>
      <c r="ER19" s="34"/>
      <c r="ES19" s="35"/>
      <c r="ET19" s="261"/>
      <c r="EU19" s="262"/>
      <c r="EV19" s="51"/>
      <c r="EW19" s="51"/>
    </row>
    <row r="20">
      <c r="A20" s="52"/>
      <c r="B20" s="142" t="s">
        <v>538</v>
      </c>
      <c r="C20" s="145"/>
      <c r="D20" s="4">
        <v>0.7805883264806591</v>
      </c>
      <c r="E20" s="4">
        <v>0.5899705014749262</v>
      </c>
      <c r="F20" s="4">
        <v>0.5393059081867841</v>
      </c>
      <c r="G20" s="4">
        <v>0.1569990795511854</v>
      </c>
      <c r="H20" s="4"/>
      <c r="I20" s="4">
        <v>0.918357573227593</v>
      </c>
      <c r="J20" s="4">
        <v>0.769358407079646</v>
      </c>
      <c r="K20" s="4">
        <v>0.7784156630895726</v>
      </c>
      <c r="L20" s="4">
        <v>0.3043873618978769</v>
      </c>
      <c r="M20" s="4"/>
      <c r="N20" s="4">
        <v>0.6808408769046931</v>
      </c>
      <c r="O20" s="4">
        <v>0.6385153308230231</v>
      </c>
      <c r="P20" s="4">
        <v>0.3813987338466948</v>
      </c>
      <c r="Q20" s="4">
        <v>0.2240354462658177</v>
      </c>
      <c r="R20" s="4"/>
      <c r="S20" s="4">
        <v>0.6287517853154663</v>
      </c>
      <c r="T20" s="4">
        <v>0.4345</v>
      </c>
      <c r="U20" s="4">
        <v>0.2240396505803771</v>
      </c>
      <c r="V20" s="4">
        <v>0.1212589362037252</v>
      </c>
      <c r="W20" s="4"/>
      <c r="X20" s="4">
        <v>0.7450935435831734</v>
      </c>
      <c r="Y20" s="4">
        <v>0.7841726618705036</v>
      </c>
      <c r="Z20" s="4">
        <v>0.4933517604208923</v>
      </c>
      <c r="AA20" s="4">
        <v>0.2376673178496491</v>
      </c>
      <c r="AB20" s="4"/>
      <c r="AC20" s="4">
        <v>0.8685659620991254</v>
      </c>
      <c r="AD20" s="4">
        <v>0.65</v>
      </c>
      <c r="AE20" s="4">
        <v>0.6967492440422675</v>
      </c>
      <c r="AF20" s="238">
        <v>0.266564240445554</v>
      </c>
      <c r="AG20" s="4"/>
      <c r="AH20" s="4">
        <v>0.6971732326979833</v>
      </c>
      <c r="AI20" s="4">
        <v>0.9317507418397626</v>
      </c>
      <c r="AJ20" s="4"/>
      <c r="AK20" s="4">
        <v>0.7285142279019442</v>
      </c>
      <c r="AL20" s="4">
        <v>0.2306034482758621</v>
      </c>
      <c r="AM20" s="4"/>
      <c r="AN20" s="4">
        <v>0.5452633598743668</v>
      </c>
      <c r="AO20" s="4">
        <v>0.3620253164556962</v>
      </c>
      <c r="AP20" s="4"/>
      <c r="AQ20" s="4"/>
      <c r="AR20" s="4"/>
      <c r="AS20" s="4"/>
      <c r="AT20" s="4">
        <v>0.8388542334344706</v>
      </c>
      <c r="AU20" s="4">
        <v>0.7169094363521216</v>
      </c>
      <c r="AV20" s="145"/>
      <c r="AW20" s="4">
        <v>0.7255956337912622</v>
      </c>
      <c r="AX20" s="4">
        <v>0.987313094698686</v>
      </c>
      <c r="AY20" s="4"/>
      <c r="AZ20" s="4">
        <v>0.6235114247344317</v>
      </c>
      <c r="BA20" s="4">
        <v>0.8461311499594305</v>
      </c>
      <c r="BB20" s="4"/>
      <c r="BC20" s="4">
        <v>0.8345856115567593</v>
      </c>
      <c r="BD20" s="4">
        <v>0.7699579831932774</v>
      </c>
      <c r="BE20" s="4"/>
      <c r="BF20" s="4">
        <v>0.7314295533704805</v>
      </c>
      <c r="BG20" s="4">
        <v>0.7606679035250464</v>
      </c>
      <c r="BH20" s="4"/>
      <c r="BI20" s="4">
        <v>0.5594670223590776</v>
      </c>
      <c r="BJ20" s="4">
        <v>0.7916666666666666</v>
      </c>
      <c r="BK20" s="4"/>
      <c r="BL20" s="4"/>
      <c r="BM20" s="4"/>
      <c r="BN20" s="4"/>
      <c r="BO20" s="4"/>
      <c r="BP20" s="4"/>
      <c r="BQ20" s="4"/>
      <c r="BR20" s="4"/>
      <c r="BS20" s="238"/>
      <c r="BT20" s="72"/>
      <c r="BU20" s="26"/>
      <c r="BV20" s="26"/>
      <c r="BW20" s="26"/>
      <c r="BX20" s="26"/>
      <c r="BY20" s="72"/>
      <c r="BZ20" s="26"/>
      <c r="CA20" s="26"/>
      <c r="CB20" s="26"/>
      <c r="CC20" s="26"/>
      <c r="CD20" s="26"/>
      <c r="CE20" s="26"/>
      <c r="CF20" s="26"/>
      <c r="CG20" s="26"/>
      <c r="CH20" s="29"/>
      <c r="CI20" s="29"/>
      <c r="CJ20" s="29"/>
      <c r="CK20" s="29"/>
      <c r="CL20" s="29"/>
      <c r="CM20" s="31"/>
      <c r="CN20" s="31"/>
      <c r="CO20" s="31"/>
      <c r="CP20" s="31"/>
      <c r="CQ20" s="28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32"/>
      <c r="DQ20" s="29"/>
      <c r="DR20" s="29"/>
      <c r="DS20" s="29"/>
      <c r="DT20" s="29"/>
      <c r="DU20" s="29"/>
      <c r="DZ20" s="108"/>
      <c r="EA20" s="41"/>
      <c r="EB20" s="74"/>
      <c r="EC20" s="35"/>
      <c r="ED20" s="252"/>
      <c r="EE20" s="253"/>
      <c r="EF20" s="254"/>
      <c r="EG20" s="255"/>
      <c r="EH20" s="229"/>
      <c r="EI20" s="57"/>
      <c r="EJ20" s="256"/>
      <c r="EK20" s="257"/>
      <c r="EL20" s="163"/>
      <c r="EM20" s="258"/>
      <c r="EN20" s="259"/>
      <c r="EO20" s="260"/>
      <c r="EP20" s="83"/>
      <c r="EQ20" s="41"/>
      <c r="ER20" s="34"/>
      <c r="ES20" s="35"/>
      <c r="ET20" s="261"/>
      <c r="EU20" s="262"/>
      <c r="EV20" s="51"/>
      <c r="EW20" s="51"/>
    </row>
    <row r="21">
      <c r="A21" s="52"/>
      <c r="B21" s="142" t="s">
        <v>539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8"/>
      <c r="AW21" s="26"/>
      <c r="AX21" s="26"/>
      <c r="AY21" s="29"/>
      <c r="AZ21" s="26"/>
      <c r="BA21" s="26"/>
      <c r="BB21" s="29"/>
      <c r="BC21" s="26"/>
      <c r="BD21" s="26"/>
      <c r="BE21" s="29"/>
      <c r="BF21" s="26"/>
      <c r="BG21" s="26"/>
      <c r="BH21" s="29"/>
      <c r="BI21" s="26"/>
      <c r="BJ21" s="26"/>
      <c r="BK21" s="29"/>
      <c r="BL21" s="29"/>
      <c r="BM21" s="29"/>
      <c r="BN21" s="29"/>
      <c r="BO21" s="29"/>
      <c r="BP21" s="29"/>
      <c r="BQ21" s="26"/>
      <c r="BR21" s="26"/>
      <c r="BS21" s="27"/>
      <c r="BT21" s="72"/>
      <c r="BU21" s="26"/>
      <c r="BV21" s="26"/>
      <c r="BW21" s="26"/>
      <c r="BX21" s="26"/>
      <c r="BY21" s="72"/>
      <c r="BZ21" s="26"/>
      <c r="CA21" s="26"/>
      <c r="CB21" s="26"/>
      <c r="CC21" s="26"/>
      <c r="CD21" s="26"/>
      <c r="CE21" s="26"/>
      <c r="CF21" s="26"/>
      <c r="CG21" s="26"/>
      <c r="CH21" s="29"/>
      <c r="CI21" s="29"/>
      <c r="CJ21" s="29"/>
      <c r="CK21" s="29"/>
      <c r="CL21" s="29"/>
      <c r="CM21" s="31"/>
      <c r="CN21" s="31"/>
      <c r="CO21" s="31"/>
      <c r="CP21" s="31"/>
      <c r="CQ21" s="28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32"/>
      <c r="DQ21" s="29"/>
      <c r="DR21" s="29"/>
      <c r="DS21" s="29"/>
      <c r="DT21" s="29"/>
      <c r="DU21" s="29"/>
      <c r="DZ21" s="108"/>
      <c r="EA21" s="41"/>
      <c r="EB21" s="74"/>
      <c r="EC21" s="35"/>
      <c r="ED21" s="252"/>
      <c r="EE21" s="253"/>
      <c r="EF21" s="254"/>
      <c r="EG21" s="255"/>
      <c r="EH21" s="229"/>
      <c r="EI21" s="57"/>
      <c r="EJ21" s="256"/>
      <c r="EK21" s="257"/>
      <c r="EL21" s="163"/>
      <c r="EM21" s="258"/>
      <c r="EN21" s="259"/>
      <c r="EO21" s="260"/>
      <c r="EP21" s="83"/>
      <c r="EQ21" s="41"/>
      <c r="ER21" s="34"/>
      <c r="ES21" s="35"/>
      <c r="ET21" s="261"/>
      <c r="EU21" s="262"/>
      <c r="EV21" s="51"/>
      <c r="EW21" s="51"/>
    </row>
    <row r="22">
      <c r="A22" s="52"/>
      <c r="B22" s="53" t="s">
        <v>540</v>
      </c>
      <c r="C22" s="25">
        <v>0.855</v>
      </c>
      <c r="D22" s="26" t="s">
        <v>541</v>
      </c>
      <c r="E22" s="26" t="s">
        <v>542</v>
      </c>
      <c r="F22" s="26" t="s">
        <v>164</v>
      </c>
      <c r="G22" s="26" t="s">
        <v>543</v>
      </c>
      <c r="H22" s="26">
        <v>0.266</v>
      </c>
      <c r="I22" s="26" t="s">
        <v>421</v>
      </c>
      <c r="J22" s="26" t="s">
        <v>183</v>
      </c>
      <c r="K22" s="26" t="s">
        <v>544</v>
      </c>
      <c r="L22" s="26" t="s">
        <v>545</v>
      </c>
      <c r="M22" s="26">
        <v>0.8</v>
      </c>
      <c r="N22" s="26" t="s">
        <v>123</v>
      </c>
      <c r="O22" s="26" t="s">
        <v>167</v>
      </c>
      <c r="P22" s="26" t="s">
        <v>546</v>
      </c>
      <c r="Q22" s="26" t="s">
        <v>547</v>
      </c>
      <c r="R22" s="26">
        <v>0.654</v>
      </c>
      <c r="S22" s="26" t="s">
        <v>548</v>
      </c>
      <c r="T22" s="26" t="s">
        <v>549</v>
      </c>
      <c r="U22" s="26" t="s">
        <v>550</v>
      </c>
      <c r="V22" s="26" t="s">
        <v>551</v>
      </c>
      <c r="W22" s="26">
        <v>0.784</v>
      </c>
      <c r="X22" s="26" t="s">
        <v>552</v>
      </c>
      <c r="Y22" s="26" t="s">
        <v>553</v>
      </c>
      <c r="Z22" s="26" t="s">
        <v>554</v>
      </c>
      <c r="AA22" s="26" t="s">
        <v>555</v>
      </c>
      <c r="AB22" s="26">
        <v>0.868</v>
      </c>
      <c r="AC22" s="26" t="s">
        <v>141</v>
      </c>
      <c r="AD22" s="26" t="s">
        <v>556</v>
      </c>
      <c r="AE22" s="26" t="s">
        <v>142</v>
      </c>
      <c r="AF22" s="27" t="s">
        <v>337</v>
      </c>
      <c r="AG22" s="26">
        <v>0.418</v>
      </c>
      <c r="AH22" s="26" t="s">
        <v>88</v>
      </c>
      <c r="AI22" s="26" t="s">
        <v>232</v>
      </c>
      <c r="AJ22" s="26">
        <v>0.086</v>
      </c>
      <c r="AK22" s="26" t="s">
        <v>464</v>
      </c>
      <c r="AL22" s="26" t="s">
        <v>557</v>
      </c>
      <c r="AM22" s="26">
        <v>0.534</v>
      </c>
      <c r="AN22" s="26" t="s">
        <v>481</v>
      </c>
      <c r="AO22" s="26" t="s">
        <v>193</v>
      </c>
      <c r="AP22" s="26">
        <v>0.255</v>
      </c>
      <c r="AQ22" s="26" t="s">
        <v>558</v>
      </c>
      <c r="AR22" s="26" t="s">
        <v>93</v>
      </c>
      <c r="AS22" s="26">
        <v>0.263</v>
      </c>
      <c r="AT22" s="26" t="s">
        <v>559</v>
      </c>
      <c r="AU22" s="26" t="s">
        <v>55</v>
      </c>
      <c r="AV22" s="28">
        <v>0.147</v>
      </c>
      <c r="AW22" s="26" t="s">
        <v>87</v>
      </c>
      <c r="AX22" s="26" t="s">
        <v>288</v>
      </c>
      <c r="AY22" s="29">
        <v>0.06</v>
      </c>
      <c r="AZ22" s="26" t="s">
        <v>560</v>
      </c>
      <c r="BA22" s="26" t="s">
        <v>531</v>
      </c>
      <c r="BB22" s="29">
        <v>0.074</v>
      </c>
      <c r="BC22" s="26" t="s">
        <v>140</v>
      </c>
      <c r="BD22" s="26" t="s">
        <v>80</v>
      </c>
      <c r="BE22" s="29">
        <v>0.23</v>
      </c>
      <c r="BF22" s="26" t="s">
        <v>281</v>
      </c>
      <c r="BG22" s="26" t="s">
        <v>96</v>
      </c>
      <c r="BH22" s="29">
        <v>0.138</v>
      </c>
      <c r="BI22" s="26" t="s">
        <v>179</v>
      </c>
      <c r="BJ22" s="26" t="s">
        <v>489</v>
      </c>
      <c r="BK22" s="29">
        <v>0.114</v>
      </c>
      <c r="BL22" s="29">
        <v>0.739</v>
      </c>
      <c r="BM22" s="29">
        <v>0.796</v>
      </c>
      <c r="BN22" s="29">
        <v>0.112</v>
      </c>
      <c r="BO22" s="29">
        <v>0.723</v>
      </c>
      <c r="BP22" s="29">
        <v>0.822</v>
      </c>
      <c r="BQ22" s="26"/>
      <c r="BR22" s="26"/>
      <c r="BS22" s="27"/>
      <c r="BT22" s="72">
        <v>0.797</v>
      </c>
      <c r="BU22" s="26" t="s">
        <v>219</v>
      </c>
      <c r="BV22" s="26" t="s">
        <v>205</v>
      </c>
      <c r="BW22" s="26" t="s">
        <v>256</v>
      </c>
      <c r="BX22" s="26" t="s">
        <v>81</v>
      </c>
      <c r="BY22" s="72">
        <v>0.841</v>
      </c>
      <c r="BZ22" s="26" t="s">
        <v>154</v>
      </c>
      <c r="CA22" s="26" t="s">
        <v>241</v>
      </c>
      <c r="CB22" s="26" t="s">
        <v>561</v>
      </c>
      <c r="CC22" s="26" t="s">
        <v>562</v>
      </c>
      <c r="CD22" s="26" t="s">
        <v>563</v>
      </c>
      <c r="CE22" s="26" t="s">
        <v>159</v>
      </c>
      <c r="CF22" s="26" t="s">
        <v>564</v>
      </c>
      <c r="CG22" s="26" t="s">
        <v>340</v>
      </c>
      <c r="CH22" s="29">
        <v>0.9856850716</v>
      </c>
      <c r="CI22" s="29">
        <v>0.976611924</v>
      </c>
      <c r="CJ22" s="29">
        <v>0.9915644172</v>
      </c>
      <c r="CK22" s="29">
        <v>0.8851536914</v>
      </c>
      <c r="CL22" s="29">
        <v>0.6555402039</v>
      </c>
      <c r="CM22" s="31">
        <v>0.688</v>
      </c>
      <c r="CN22" s="31">
        <v>0.749</v>
      </c>
      <c r="CO22" s="31">
        <v>0.379</v>
      </c>
      <c r="CP22" s="31">
        <v>0.134</v>
      </c>
      <c r="CQ22" s="28">
        <v>0.638</v>
      </c>
      <c r="CR22" s="29">
        <v>0.79</v>
      </c>
      <c r="CS22" s="29">
        <v>0.544</v>
      </c>
      <c r="CT22" s="29">
        <v>0.09</v>
      </c>
      <c r="CU22" s="29">
        <v>0.265</v>
      </c>
      <c r="CV22" s="29">
        <v>0.094</v>
      </c>
      <c r="CW22" s="29">
        <v>0.165</v>
      </c>
      <c r="CX22" s="29">
        <v>0.908</v>
      </c>
      <c r="CY22" s="29">
        <v>0.973</v>
      </c>
      <c r="CZ22" s="29">
        <v>0.643</v>
      </c>
      <c r="DA22" s="29">
        <v>0.243</v>
      </c>
      <c r="DB22" s="29">
        <v>0.849</v>
      </c>
      <c r="DC22" s="29">
        <v>0.678</v>
      </c>
      <c r="DD22" s="29">
        <v>0.251</v>
      </c>
      <c r="DE22" s="29">
        <v>0.685</v>
      </c>
      <c r="DF22" s="29">
        <v>0.802</v>
      </c>
      <c r="DG22" s="29">
        <v>0.473</v>
      </c>
      <c r="DH22" s="29">
        <v>0.062</v>
      </c>
      <c r="DI22" s="29">
        <v>0.319</v>
      </c>
      <c r="DJ22" s="29">
        <v>0.175</v>
      </c>
      <c r="DK22" s="29">
        <v>0.073</v>
      </c>
      <c r="DL22" s="29">
        <v>0.957</v>
      </c>
      <c r="DM22" s="29" t="s">
        <v>158</v>
      </c>
      <c r="DN22" s="29" t="s">
        <v>565</v>
      </c>
      <c r="DO22" s="29" t="s">
        <v>385</v>
      </c>
      <c r="DP22" s="32" t="s">
        <v>566</v>
      </c>
      <c r="DQ22" s="29">
        <v>0.241</v>
      </c>
      <c r="DR22" s="29">
        <v>0.643</v>
      </c>
      <c r="DS22" s="29">
        <v>0.743</v>
      </c>
      <c r="DT22" s="29">
        <v>0.218</v>
      </c>
      <c r="DU22" s="29">
        <v>0.091</v>
      </c>
      <c r="DZ22" s="108">
        <f t="shared" ref="DZ22:ED22" si="70">IFERROR(AVERAGE(IFERROR(VALUE(C22),""),IFERROR(VALUE(H22),""),IFERROR(VALUE(M22),""),IFERROR(VALUE(R22),""),IFERROR(VALUE(W22),""),IFERROR(VALUE(AB22),"")),"")</f>
        <v>0.7045</v>
      </c>
      <c r="EA22" s="41">
        <f t="shared" si="70"/>
        <v>0.7143333333</v>
      </c>
      <c r="EB22" s="74">
        <f t="shared" si="70"/>
        <v>0.5718333333</v>
      </c>
      <c r="EC22" s="35">
        <f t="shared" si="70"/>
        <v>0.4733333333</v>
      </c>
      <c r="ED22" s="252">
        <f t="shared" si="70"/>
        <v>0.1875</v>
      </c>
      <c r="EE22" s="253">
        <f t="shared" ref="EE22:EG22" si="71">IFERROR(AVERAGE(IFERROR(VALUE(AG22),""),IFERROR(VALUE(AJ22),""),IFERROR(VALUE(AM22),""),IFERROR(VALUE(AP22),""),IFERROR(VALUE(AS22),"")),"")</f>
        <v>0.3112</v>
      </c>
      <c r="EF22" s="254">
        <f t="shared" si="71"/>
        <v>0.7036</v>
      </c>
      <c r="EG22" s="255">
        <f t="shared" si="71"/>
        <v>0.6338</v>
      </c>
      <c r="EH22" s="229">
        <v>0.685</v>
      </c>
      <c r="EI22" s="57">
        <v>0.792</v>
      </c>
      <c r="EJ22" s="256">
        <f t="shared" ref="EJ22:EJ28" si="77">IFERROR(AVERAGE(IFERROR(VALUE(BT22),""),IFERROR(VALUE(BY22),""),IFERROR(VALUE(CH22),"")),"")</f>
        <v>0.8745616905</v>
      </c>
      <c r="EK22" s="257">
        <f t="shared" ref="EK22:EK28" si="78">IFERROR(AVERAGE(IFERROR(VALUE(BZ22),""),IFERROR(VALUE(CD22),""),IFERROR(VALUE(CI22),""),IFERROR(VALUE(CM22),"")),"")</f>
        <v>0.801152981</v>
      </c>
      <c r="EL22" s="163">
        <f t="shared" ref="EL22:EL28" si="79">IFERROR(AVERAGE(IFERROR(VALUE(CA22),""),IFERROR(VALUE(CE22),""),IFERROR(VALUE(CJ22),""), IFERROR(VALUE(CN22),"")),"")</f>
        <v>0.7976411043</v>
      </c>
      <c r="EM22" s="258">
        <f t="shared" ref="EM22:EM28" si="80">IFERROR(AVERAGE(IFERROR(VALUE(CB22),""),IFERROR(VALUE(CF22),""),IFERROR(VALUE(CK22),""),IFERROR(VALUE(CO22),"")),"")</f>
        <v>0.5327884229</v>
      </c>
      <c r="EN22" s="259">
        <f t="shared" ref="EN22:EN28" si="81">IFERROR(AVERAGE(IFERROR(VALUE(CC22),""),IFERROR(VALUE(CG22),""),IFERROR(VALUE(CL22),""), IFERROR(VALUE(CP22),"")),"")</f>
        <v>0.296135051</v>
      </c>
      <c r="EO22" s="260">
        <v>0.957</v>
      </c>
      <c r="EP22" s="83">
        <f t="shared" ref="EP22:EQ22" si="72">IFERROR(AVERAGE(IFERROR(VALUE(CQ22),""),IFERROR(VALUE(CX22),""),IFERROR(VALUE(DE22),""),IFERROR(VALUE(DM22),"")),"")</f>
        <v>0.76975</v>
      </c>
      <c r="EQ22" s="41">
        <f t="shared" si="72"/>
        <v>0.88075</v>
      </c>
      <c r="ER22" s="34">
        <f t="shared" ref="ER22:ES22" si="73">IFERROR(AVERAGE(IFERROR(VALUE(CU22),""),IFERROR(VALUE(DB22),""),IFERROR(VALUE(DI22),""),IFERROR(VALUE(DO22),"")),"")</f>
        <v>0.511</v>
      </c>
      <c r="ES22" s="35">
        <f t="shared" si="73"/>
        <v>0.36375</v>
      </c>
      <c r="ET22" s="261">
        <f t="shared" ref="ET22:EU22" si="74">IFERROR(AVERAGE(IFERROR(VALUE(CS22),""),IFERROR(VALUE(CZ22),""),IFERROR(VALUE(DG22),"")),"")</f>
        <v>0.5533333333</v>
      </c>
      <c r="EU22" s="262">
        <f t="shared" si="74"/>
        <v>0.1316666667</v>
      </c>
      <c r="EV22" s="51">
        <v>0.627</v>
      </c>
      <c r="EW22" s="51">
        <v>0.125</v>
      </c>
    </row>
    <row r="23">
      <c r="A23" s="52"/>
      <c r="B23" s="53" t="s">
        <v>567</v>
      </c>
      <c r="C23" s="25">
        <v>0.823</v>
      </c>
      <c r="D23" s="26" t="s">
        <v>244</v>
      </c>
      <c r="E23" s="26" t="s">
        <v>385</v>
      </c>
      <c r="F23" s="26" t="s">
        <v>332</v>
      </c>
      <c r="G23" s="26" t="s">
        <v>568</v>
      </c>
      <c r="H23" s="26">
        <v>0.33</v>
      </c>
      <c r="I23" s="26" t="s">
        <v>569</v>
      </c>
      <c r="J23" s="26" t="s">
        <v>570</v>
      </c>
      <c r="K23" s="26" t="s">
        <v>571</v>
      </c>
      <c r="L23" s="26" t="s">
        <v>545</v>
      </c>
      <c r="M23" s="26">
        <v>0.758</v>
      </c>
      <c r="N23" s="26" t="s">
        <v>443</v>
      </c>
      <c r="O23" s="26" t="s">
        <v>439</v>
      </c>
      <c r="P23" s="26" t="s">
        <v>572</v>
      </c>
      <c r="Q23" s="26" t="s">
        <v>573</v>
      </c>
      <c r="R23" s="26">
        <v>0.639</v>
      </c>
      <c r="S23" s="26" t="s">
        <v>574</v>
      </c>
      <c r="T23" s="26" t="s">
        <v>319</v>
      </c>
      <c r="U23" s="26" t="s">
        <v>575</v>
      </c>
      <c r="V23" s="26" t="s">
        <v>576</v>
      </c>
      <c r="W23" s="26">
        <v>0.863</v>
      </c>
      <c r="X23" s="26" t="s">
        <v>577</v>
      </c>
      <c r="Y23" s="26" t="s">
        <v>578</v>
      </c>
      <c r="Z23" s="26" t="s">
        <v>579</v>
      </c>
      <c r="AA23" s="26" t="s">
        <v>580</v>
      </c>
      <c r="AB23" s="26">
        <v>0.74</v>
      </c>
      <c r="AC23" s="26" t="s">
        <v>581</v>
      </c>
      <c r="AD23" s="26" t="s">
        <v>582</v>
      </c>
      <c r="AE23" s="26" t="s">
        <v>149</v>
      </c>
      <c r="AF23" s="27" t="s">
        <v>583</v>
      </c>
      <c r="AG23" s="26">
        <v>0.428</v>
      </c>
      <c r="AH23" s="26" t="s">
        <v>194</v>
      </c>
      <c r="AI23" s="26" t="s">
        <v>584</v>
      </c>
      <c r="AJ23" s="26">
        <v>0.087</v>
      </c>
      <c r="AK23" s="26" t="s">
        <v>558</v>
      </c>
      <c r="AL23" s="26" t="s">
        <v>295</v>
      </c>
      <c r="AM23" s="26">
        <v>0.571</v>
      </c>
      <c r="AN23" s="26" t="s">
        <v>585</v>
      </c>
      <c r="AO23" s="26" t="s">
        <v>206</v>
      </c>
      <c r="AP23" s="26">
        <v>0.081</v>
      </c>
      <c r="AQ23" s="26" t="s">
        <v>262</v>
      </c>
      <c r="AR23" s="26" t="s">
        <v>229</v>
      </c>
      <c r="AS23" s="26">
        <v>0.389</v>
      </c>
      <c r="AT23" s="26" t="s">
        <v>131</v>
      </c>
      <c r="AU23" s="26" t="s">
        <v>235</v>
      </c>
      <c r="AV23" s="28">
        <v>0.214</v>
      </c>
      <c r="AW23" s="26" t="s">
        <v>196</v>
      </c>
      <c r="AX23" s="26" t="s">
        <v>586</v>
      </c>
      <c r="AY23" s="29">
        <v>0.069</v>
      </c>
      <c r="AZ23" s="26" t="s">
        <v>587</v>
      </c>
      <c r="BA23" s="26" t="s">
        <v>185</v>
      </c>
      <c r="BB23" s="29">
        <v>0.105</v>
      </c>
      <c r="BC23" s="26" t="s">
        <v>588</v>
      </c>
      <c r="BD23" s="26" t="s">
        <v>119</v>
      </c>
      <c r="BE23" s="29">
        <v>0.257</v>
      </c>
      <c r="BF23" s="26" t="s">
        <v>402</v>
      </c>
      <c r="BG23" s="26" t="s">
        <v>589</v>
      </c>
      <c r="BH23" s="29">
        <v>0.119</v>
      </c>
      <c r="BI23" s="26" t="s">
        <v>304</v>
      </c>
      <c r="BJ23" s="26" t="s">
        <v>590</v>
      </c>
      <c r="BK23" s="29">
        <v>0.125</v>
      </c>
      <c r="BL23" s="29">
        <v>0.642</v>
      </c>
      <c r="BM23" s="29">
        <v>0.779</v>
      </c>
      <c r="BN23" s="29">
        <v>0.114</v>
      </c>
      <c r="BO23" s="29">
        <v>0.657</v>
      </c>
      <c r="BP23" s="29">
        <v>0.816</v>
      </c>
      <c r="BQ23" s="26"/>
      <c r="BR23" s="26"/>
      <c r="BS23" s="27"/>
      <c r="BT23" s="26">
        <v>0.742</v>
      </c>
      <c r="BU23" s="26" t="s">
        <v>441</v>
      </c>
      <c r="BV23" s="26" t="s">
        <v>591</v>
      </c>
      <c r="BW23" s="26" t="s">
        <v>488</v>
      </c>
      <c r="BX23" s="26" t="s">
        <v>592</v>
      </c>
      <c r="BY23" s="26">
        <v>0.841</v>
      </c>
      <c r="BZ23" s="26" t="s">
        <v>88</v>
      </c>
      <c r="CA23" s="26" t="s">
        <v>306</v>
      </c>
      <c r="CB23" s="26" t="s">
        <v>593</v>
      </c>
      <c r="CC23" s="26" t="s">
        <v>127</v>
      </c>
      <c r="CD23" s="26" t="s">
        <v>594</v>
      </c>
      <c r="CE23" s="72">
        <v>0.56</v>
      </c>
      <c r="CF23" s="26" t="s">
        <v>248</v>
      </c>
      <c r="CG23" s="26" t="s">
        <v>595</v>
      </c>
      <c r="CH23" s="29">
        <v>0.9700920245</v>
      </c>
      <c r="CI23" s="29">
        <v>0.9343732325</v>
      </c>
      <c r="CJ23" s="29">
        <v>0.9930981595</v>
      </c>
      <c r="CK23" s="29">
        <v>0.8159253752</v>
      </c>
      <c r="CL23" s="29">
        <v>0.5463171349</v>
      </c>
      <c r="CM23" s="31">
        <v>0.63</v>
      </c>
      <c r="CN23" s="31">
        <v>0.629</v>
      </c>
      <c r="CO23" s="31">
        <v>0.26</v>
      </c>
      <c r="CP23" s="31">
        <v>0.068</v>
      </c>
      <c r="CQ23" s="28">
        <v>0.65</v>
      </c>
      <c r="CR23" s="29">
        <v>0.88</v>
      </c>
      <c r="CS23" s="29">
        <v>0.54</v>
      </c>
      <c r="CT23" s="29">
        <v>0.109</v>
      </c>
      <c r="CU23" s="29">
        <v>0.265</v>
      </c>
      <c r="CV23" s="29">
        <v>0.078</v>
      </c>
      <c r="CW23" s="29">
        <v>0.175</v>
      </c>
      <c r="CX23" s="29">
        <v>0.917</v>
      </c>
      <c r="CY23" s="29">
        <v>0.968</v>
      </c>
      <c r="CZ23" s="29">
        <v>0.689</v>
      </c>
      <c r="DA23" s="29">
        <v>0.207</v>
      </c>
      <c r="DB23" s="29">
        <v>0.741</v>
      </c>
      <c r="DC23" s="29">
        <v>0.556</v>
      </c>
      <c r="DD23" s="29">
        <v>0.307</v>
      </c>
      <c r="DE23" s="29">
        <v>0.636</v>
      </c>
      <c r="DF23" s="29">
        <v>0.783</v>
      </c>
      <c r="DG23" s="29">
        <v>0.474</v>
      </c>
      <c r="DH23" s="29">
        <v>0.078</v>
      </c>
      <c r="DI23" s="29">
        <v>0.171</v>
      </c>
      <c r="DJ23" s="29">
        <v>0.057</v>
      </c>
      <c r="DK23" s="29">
        <v>0.115</v>
      </c>
      <c r="DL23" s="29">
        <v>0.914</v>
      </c>
      <c r="DM23" s="29" t="s">
        <v>214</v>
      </c>
      <c r="DN23" s="29" t="s">
        <v>134</v>
      </c>
      <c r="DO23" s="29" t="s">
        <v>596</v>
      </c>
      <c r="DP23" s="32" t="s">
        <v>597</v>
      </c>
      <c r="DQ23" s="29">
        <v>0.254</v>
      </c>
      <c r="DR23" s="29">
        <v>0.606</v>
      </c>
      <c r="DS23" s="29">
        <v>0.759</v>
      </c>
      <c r="DT23" s="29">
        <v>0.158</v>
      </c>
      <c r="DU23" s="29">
        <v>0.05</v>
      </c>
      <c r="DZ23" s="263">
        <f t="shared" ref="DZ23:ED23" si="75">IFERROR(AVERAGE(IFERROR(VALUE(C23),""),IFERROR(VALUE(H23),""),IFERROR(VALUE(M23),""),IFERROR(VALUE(R23),""),IFERROR(VALUE(W23),""),IFERROR(VALUE(AB23),"")),"")</f>
        <v>0.6921666667</v>
      </c>
      <c r="EA23" s="264">
        <f t="shared" si="75"/>
        <v>0.6705333333</v>
      </c>
      <c r="EB23" s="265">
        <f t="shared" si="75"/>
        <v>0.4985</v>
      </c>
      <c r="EC23" s="111">
        <f t="shared" si="75"/>
        <v>0.4096666667</v>
      </c>
      <c r="ED23" s="266">
        <f t="shared" si="75"/>
        <v>0.1171666667</v>
      </c>
      <c r="EE23" s="253">
        <f t="shared" ref="EE23:EG23" si="76">IFERROR(AVERAGE(IFERROR(VALUE(AG23),""),IFERROR(VALUE(AJ23),""),IFERROR(VALUE(AM23),""),IFERROR(VALUE(AP23),""),IFERROR(VALUE(AS23),"")),"")</f>
        <v>0.3112</v>
      </c>
      <c r="EF23" s="35">
        <f t="shared" si="76"/>
        <v>0.6794</v>
      </c>
      <c r="EG23" s="57">
        <f t="shared" si="76"/>
        <v>0.6068</v>
      </c>
      <c r="EH23" s="237">
        <v>0.631</v>
      </c>
      <c r="EI23" s="113">
        <v>0.773</v>
      </c>
      <c r="EJ23" s="33">
        <f t="shared" si="77"/>
        <v>0.8510306748</v>
      </c>
      <c r="EK23" s="41">
        <f t="shared" si="78"/>
        <v>0.7568433081</v>
      </c>
      <c r="EL23" s="38">
        <f t="shared" si="79"/>
        <v>0.7635245399</v>
      </c>
      <c r="EM23" s="237">
        <f t="shared" si="80"/>
        <v>0.4662313438</v>
      </c>
      <c r="EN23" s="267">
        <f t="shared" si="81"/>
        <v>0.2303292837</v>
      </c>
      <c r="EO23" s="268">
        <v>0.914</v>
      </c>
      <c r="EP23" s="41">
        <f t="shared" ref="EP23:EQ23" si="82">IFERROR(AVERAGE(IFERROR(VALUE(CQ23),""),IFERROR(VALUE(CX23),""),IFERROR(VALUE(DE23),""),IFERROR(VALUE(DM23),"")),"")</f>
        <v>0.75175</v>
      </c>
      <c r="EQ23" s="35">
        <f t="shared" si="82"/>
        <v>0.89225</v>
      </c>
      <c r="ER23" s="269">
        <f t="shared" ref="ER23:ES23" si="83">IFERROR(AVERAGE(IFERROR(VALUE(CU23),""),IFERROR(VALUE(DB23),""),IFERROR(VALUE(DI23),""),IFERROR(VALUE(DO23),"")),"")</f>
        <v>0.40075</v>
      </c>
      <c r="ES23" s="270">
        <f t="shared" si="83"/>
        <v>0.2435</v>
      </c>
      <c r="ET23" s="271">
        <f t="shared" ref="ET23:EU23" si="84">IFERROR(AVERAGE(IFERROR(VALUE(CS23),""),IFERROR(VALUE(CZ23),""),IFERROR(VALUE(DG23),"")),"")</f>
        <v>0.5676666667</v>
      </c>
      <c r="EU23" s="272">
        <f t="shared" si="84"/>
        <v>0.1313333333</v>
      </c>
      <c r="EV23" s="51">
        <v>0.627</v>
      </c>
      <c r="EW23" s="51">
        <v>0.143</v>
      </c>
    </row>
    <row r="24">
      <c r="A24" s="52"/>
      <c r="B24" s="53" t="s">
        <v>598</v>
      </c>
      <c r="C24" s="25">
        <v>0.873</v>
      </c>
      <c r="D24" s="26" t="s">
        <v>77</v>
      </c>
      <c r="E24" s="26" t="s">
        <v>330</v>
      </c>
      <c r="F24" s="26" t="s">
        <v>587</v>
      </c>
      <c r="G24" s="26" t="s">
        <v>120</v>
      </c>
      <c r="H24" s="26">
        <v>0.326</v>
      </c>
      <c r="I24" s="26" t="s">
        <v>599</v>
      </c>
      <c r="J24" s="26" t="s">
        <v>459</v>
      </c>
      <c r="K24" s="26" t="s">
        <v>600</v>
      </c>
      <c r="L24" s="26" t="s">
        <v>266</v>
      </c>
      <c r="M24" s="26">
        <v>0.791</v>
      </c>
      <c r="N24" s="26" t="s">
        <v>176</v>
      </c>
      <c r="O24" s="26" t="s">
        <v>222</v>
      </c>
      <c r="P24" s="26" t="s">
        <v>601</v>
      </c>
      <c r="Q24" s="26" t="s">
        <v>602</v>
      </c>
      <c r="R24" s="26">
        <v>0.655</v>
      </c>
      <c r="S24" s="26" t="s">
        <v>282</v>
      </c>
      <c r="T24" s="26" t="s">
        <v>138</v>
      </c>
      <c r="U24" s="26" t="s">
        <v>603</v>
      </c>
      <c r="V24" s="26" t="s">
        <v>604</v>
      </c>
      <c r="W24" s="26">
        <v>0.755</v>
      </c>
      <c r="X24" s="26" t="s">
        <v>271</v>
      </c>
      <c r="Y24" s="26" t="s">
        <v>601</v>
      </c>
      <c r="Z24" s="26" t="s">
        <v>605</v>
      </c>
      <c r="AA24" s="26" t="s">
        <v>606</v>
      </c>
      <c r="AB24" s="26">
        <v>0.853</v>
      </c>
      <c r="AC24" s="26" t="s">
        <v>358</v>
      </c>
      <c r="AD24" s="26" t="s">
        <v>440</v>
      </c>
      <c r="AE24" s="26" t="s">
        <v>607</v>
      </c>
      <c r="AF24" s="27" t="s">
        <v>608</v>
      </c>
      <c r="AG24" s="26">
        <v>0.475</v>
      </c>
      <c r="AH24" s="26" t="s">
        <v>609</v>
      </c>
      <c r="AI24" s="26" t="s">
        <v>610</v>
      </c>
      <c r="AJ24" s="26">
        <v>0.103</v>
      </c>
      <c r="AK24" s="26" t="s">
        <v>186</v>
      </c>
      <c r="AL24" s="26" t="s">
        <v>611</v>
      </c>
      <c r="AM24" s="26">
        <v>0.569</v>
      </c>
      <c r="AN24" s="26" t="s">
        <v>427</v>
      </c>
      <c r="AO24" s="26" t="s">
        <v>289</v>
      </c>
      <c r="AP24" s="26">
        <v>0.155</v>
      </c>
      <c r="AQ24" s="26" t="s">
        <v>128</v>
      </c>
      <c r="AR24" s="26" t="s">
        <v>607</v>
      </c>
      <c r="AS24" s="26">
        <v>0.275</v>
      </c>
      <c r="AT24" s="26" t="s">
        <v>490</v>
      </c>
      <c r="AU24" s="26" t="s">
        <v>58</v>
      </c>
      <c r="AV24" s="28">
        <v>0.188</v>
      </c>
      <c r="AW24" s="26" t="s">
        <v>62</v>
      </c>
      <c r="AX24" s="26" t="s">
        <v>144</v>
      </c>
      <c r="AY24" s="29">
        <v>0.065</v>
      </c>
      <c r="AZ24" s="26" t="s">
        <v>94</v>
      </c>
      <c r="BA24" s="26" t="s">
        <v>145</v>
      </c>
      <c r="BB24" s="29">
        <v>0.113</v>
      </c>
      <c r="BC24" s="26" t="s">
        <v>146</v>
      </c>
      <c r="BD24" s="26" t="s">
        <v>147</v>
      </c>
      <c r="BE24" s="29">
        <v>0.303</v>
      </c>
      <c r="BF24" s="26" t="s">
        <v>148</v>
      </c>
      <c r="BG24" s="26" t="s">
        <v>128</v>
      </c>
      <c r="BH24" s="29">
        <v>0.185</v>
      </c>
      <c r="BI24" s="26" t="s">
        <v>149</v>
      </c>
      <c r="BJ24" s="26" t="s">
        <v>150</v>
      </c>
      <c r="BK24" s="29">
        <v>0.158</v>
      </c>
      <c r="BL24" s="30">
        <v>0.734</v>
      </c>
      <c r="BM24" s="30">
        <v>0.813</v>
      </c>
      <c r="BN24" s="29">
        <v>0.147</v>
      </c>
      <c r="BO24" s="30">
        <v>0.708</v>
      </c>
      <c r="BP24" s="30">
        <v>0.842</v>
      </c>
      <c r="BQ24" s="26"/>
      <c r="BR24" s="26"/>
      <c r="BS24" s="27"/>
      <c r="BT24" s="26">
        <v>0.792</v>
      </c>
      <c r="BU24" s="26" t="s">
        <v>214</v>
      </c>
      <c r="BV24" s="26" t="s">
        <v>335</v>
      </c>
      <c r="BW24" s="26" t="s">
        <v>612</v>
      </c>
      <c r="BX24" s="26" t="s">
        <v>387</v>
      </c>
      <c r="BY24" s="26">
        <v>0.815</v>
      </c>
      <c r="BZ24" s="26" t="s">
        <v>233</v>
      </c>
      <c r="CA24" s="26" t="s">
        <v>286</v>
      </c>
      <c r="CB24" s="26" t="s">
        <v>613</v>
      </c>
      <c r="CC24" s="26" t="s">
        <v>614</v>
      </c>
      <c r="CD24" s="26" t="s">
        <v>615</v>
      </c>
      <c r="CE24" s="26" t="s">
        <v>612</v>
      </c>
      <c r="CF24" s="26" t="s">
        <v>616</v>
      </c>
      <c r="CG24" s="26" t="s">
        <v>314</v>
      </c>
      <c r="CH24" s="29">
        <v>0.9836400818</v>
      </c>
      <c r="CI24" s="29">
        <v>0.977131647</v>
      </c>
      <c r="CJ24" s="29">
        <v>0.9905419223</v>
      </c>
      <c r="CK24" s="29">
        <v>0.846962331</v>
      </c>
      <c r="CL24" s="29">
        <v>0.6351495797</v>
      </c>
      <c r="CM24" s="31">
        <v>0.646</v>
      </c>
      <c r="CN24" s="31">
        <v>0.687</v>
      </c>
      <c r="CO24" s="31">
        <v>0.321</v>
      </c>
      <c r="CP24" s="31">
        <v>0.099</v>
      </c>
      <c r="CQ24" s="28">
        <v>0.651</v>
      </c>
      <c r="CR24" s="29">
        <v>0.905</v>
      </c>
      <c r="CS24" s="29">
        <v>0.547</v>
      </c>
      <c r="CT24" s="29">
        <v>0.133</v>
      </c>
      <c r="CU24" s="29">
        <v>0.28</v>
      </c>
      <c r="CV24" s="29">
        <v>0.091</v>
      </c>
      <c r="CW24" s="29">
        <v>0.2</v>
      </c>
      <c r="CX24" s="29">
        <v>0.929</v>
      </c>
      <c r="CY24" s="29">
        <v>0.958</v>
      </c>
      <c r="CZ24" s="29">
        <v>0.575</v>
      </c>
      <c r="DA24" s="29">
        <v>0.12</v>
      </c>
      <c r="DB24" s="29">
        <v>0.821</v>
      </c>
      <c r="DC24" s="29">
        <v>0.635</v>
      </c>
      <c r="DD24" s="29">
        <v>0.152</v>
      </c>
      <c r="DE24" s="29">
        <v>0.701</v>
      </c>
      <c r="DF24" s="29">
        <v>0.85</v>
      </c>
      <c r="DG24" s="29">
        <v>0.487</v>
      </c>
      <c r="DH24" s="29">
        <v>0.1</v>
      </c>
      <c r="DI24" s="29">
        <v>0.32</v>
      </c>
      <c r="DJ24" s="29">
        <v>0.18</v>
      </c>
      <c r="DK24" s="29">
        <v>0.109</v>
      </c>
      <c r="DL24" s="29">
        <v>0.929</v>
      </c>
      <c r="DM24" s="29" t="s">
        <v>247</v>
      </c>
      <c r="DN24" s="29" t="s">
        <v>360</v>
      </c>
      <c r="DO24" s="29" t="s">
        <v>617</v>
      </c>
      <c r="DP24" s="32" t="s">
        <v>618</v>
      </c>
      <c r="DQ24" s="29">
        <v>0.234</v>
      </c>
      <c r="DR24" s="29">
        <v>0.659</v>
      </c>
      <c r="DS24" s="29">
        <v>0.845</v>
      </c>
      <c r="DT24" s="29">
        <v>0.223</v>
      </c>
      <c r="DU24" s="29">
        <v>0.082</v>
      </c>
      <c r="DZ24" s="108">
        <f t="shared" ref="DZ24:ED24" si="85">IFERROR(AVERAGE(IFERROR(VALUE(C24),""),IFERROR(VALUE(H24),""),IFERROR(VALUE(M24),""),IFERROR(VALUE(R24),""),IFERROR(VALUE(W24),""),IFERROR(VALUE(AB24),"")),"")</f>
        <v>0.7088333333</v>
      </c>
      <c r="EA24" s="42">
        <f t="shared" si="85"/>
        <v>0.7036666667</v>
      </c>
      <c r="EB24" s="273">
        <f t="shared" si="85"/>
        <v>0.5566666667</v>
      </c>
      <c r="EC24" s="274">
        <f t="shared" si="85"/>
        <v>0.4478333333</v>
      </c>
      <c r="ED24" s="275">
        <f t="shared" si="85"/>
        <v>0.1641666667</v>
      </c>
      <c r="EE24" s="73">
        <f t="shared" ref="EE24:EG24" si="86">IFERROR(AVERAGE(IFERROR(VALUE(AG24),""),IFERROR(VALUE(AJ24),""),IFERROR(VALUE(AM24),""),IFERROR(VALUE(AP24),""),IFERROR(VALUE(AS24),"")),"")</f>
        <v>0.3154</v>
      </c>
      <c r="EF24" s="276">
        <f t="shared" si="86"/>
        <v>0.6938</v>
      </c>
      <c r="EG24" s="277">
        <f t="shared" si="86"/>
        <v>0.6584</v>
      </c>
      <c r="EH24" s="278">
        <v>0.677</v>
      </c>
      <c r="EI24" s="279">
        <v>0.81</v>
      </c>
      <c r="EJ24" s="280">
        <f t="shared" si="77"/>
        <v>0.8635466939</v>
      </c>
      <c r="EK24" s="92">
        <f t="shared" si="78"/>
        <v>0.7880329118</v>
      </c>
      <c r="EL24" s="170">
        <f t="shared" si="79"/>
        <v>0.7718854806</v>
      </c>
      <c r="EM24" s="55">
        <f t="shared" si="80"/>
        <v>0.5124905828</v>
      </c>
      <c r="EN24" s="281">
        <f t="shared" si="81"/>
        <v>0.2997873949</v>
      </c>
      <c r="EO24" s="33">
        <v>0.929</v>
      </c>
      <c r="EP24" s="34">
        <f t="shared" ref="EP24:EQ24" si="87">IFERROR(AVERAGE(IFERROR(VALUE(CQ24),""),IFERROR(VALUE(CX24),""),IFERROR(VALUE(DE24),""),IFERROR(VALUE(DM24),"")),"")</f>
        <v>0.77925</v>
      </c>
      <c r="EQ24" s="282">
        <f t="shared" si="87"/>
        <v>0.9185</v>
      </c>
      <c r="ER24" s="42">
        <f t="shared" ref="ER24:ES24" si="88">IFERROR(AVERAGE(IFERROR(VALUE(CU24),""),IFERROR(VALUE(DB24),""),IFERROR(VALUE(DI24),""),IFERROR(VALUE(DO24),"")),"")</f>
        <v>0.4875</v>
      </c>
      <c r="ES24" s="283">
        <f t="shared" si="88"/>
        <v>0.33825</v>
      </c>
      <c r="ET24" s="284">
        <f t="shared" ref="ET24:EU24" si="89">IFERROR(AVERAGE(IFERROR(VALUE(CS24),""),IFERROR(VALUE(CZ24),""),IFERROR(VALUE(DG24),"")),"")</f>
        <v>0.5363333333</v>
      </c>
      <c r="EU24" s="285">
        <f t="shared" si="89"/>
        <v>0.1176666667</v>
      </c>
      <c r="EV24" s="51">
        <v>0.611</v>
      </c>
      <c r="EW24" s="51">
        <v>0.166</v>
      </c>
    </row>
    <row r="25">
      <c r="A25" s="52"/>
      <c r="B25" s="142" t="s">
        <v>619</v>
      </c>
      <c r="C25" s="25">
        <v>0.935</v>
      </c>
      <c r="D25" s="26" t="s">
        <v>620</v>
      </c>
      <c r="E25" s="26" t="s">
        <v>621</v>
      </c>
      <c r="F25" s="26" t="s">
        <v>441</v>
      </c>
      <c r="G25" s="26" t="s">
        <v>544</v>
      </c>
      <c r="H25" s="26">
        <v>0.798</v>
      </c>
      <c r="I25" s="26" t="s">
        <v>302</v>
      </c>
      <c r="J25" s="26" t="s">
        <v>591</v>
      </c>
      <c r="K25" s="26" t="s">
        <v>622</v>
      </c>
      <c r="L25" s="26" t="s">
        <v>623</v>
      </c>
      <c r="M25" s="26">
        <v>0.775</v>
      </c>
      <c r="N25" s="26" t="s">
        <v>62</v>
      </c>
      <c r="O25" s="26" t="s">
        <v>624</v>
      </c>
      <c r="P25" s="26" t="s">
        <v>625</v>
      </c>
      <c r="Q25" s="26" t="s">
        <v>626</v>
      </c>
      <c r="R25" s="26">
        <v>0.696</v>
      </c>
      <c r="S25" s="26" t="s">
        <v>627</v>
      </c>
      <c r="T25" s="26" t="s">
        <v>628</v>
      </c>
      <c r="U25" s="26" t="s">
        <v>629</v>
      </c>
      <c r="V25" s="26" t="s">
        <v>480</v>
      </c>
      <c r="W25" s="26">
        <v>0.942</v>
      </c>
      <c r="X25" s="26" t="s">
        <v>524</v>
      </c>
      <c r="Y25" s="26" t="s">
        <v>439</v>
      </c>
      <c r="Z25" s="26" t="s">
        <v>364</v>
      </c>
      <c r="AA25" s="26" t="s">
        <v>561</v>
      </c>
      <c r="AB25" s="26">
        <v>0.897</v>
      </c>
      <c r="AC25" s="26" t="s">
        <v>630</v>
      </c>
      <c r="AD25" s="26" t="s">
        <v>254</v>
      </c>
      <c r="AE25" s="26" t="s">
        <v>631</v>
      </c>
      <c r="AF25" s="27" t="s">
        <v>100</v>
      </c>
      <c r="AG25" s="26">
        <v>0.555</v>
      </c>
      <c r="AH25" s="26" t="s">
        <v>200</v>
      </c>
      <c r="AI25" s="26" t="s">
        <v>632</v>
      </c>
      <c r="AJ25" s="26">
        <v>0.109</v>
      </c>
      <c r="AK25" s="26" t="s">
        <v>556</v>
      </c>
      <c r="AL25" s="26" t="s">
        <v>633</v>
      </c>
      <c r="AM25" s="26">
        <v>0.536</v>
      </c>
      <c r="AN25" s="26" t="s">
        <v>159</v>
      </c>
      <c r="AO25" s="26" t="s">
        <v>634</v>
      </c>
      <c r="AP25" s="26">
        <v>0.303</v>
      </c>
      <c r="AQ25" s="26" t="s">
        <v>262</v>
      </c>
      <c r="AR25" s="26" t="s">
        <v>208</v>
      </c>
      <c r="AS25" s="26">
        <v>0.448</v>
      </c>
      <c r="AT25" s="26" t="s">
        <v>141</v>
      </c>
      <c r="AU25" s="26" t="s">
        <v>361</v>
      </c>
      <c r="AV25" s="28">
        <v>0.304</v>
      </c>
      <c r="AW25" s="26" t="s">
        <v>154</v>
      </c>
      <c r="AX25" s="26" t="s">
        <v>635</v>
      </c>
      <c r="AY25" s="29">
        <v>0.15</v>
      </c>
      <c r="AZ25" s="26" t="s">
        <v>569</v>
      </c>
      <c r="BA25" s="26" t="s">
        <v>91</v>
      </c>
      <c r="BB25" s="29">
        <v>0.279</v>
      </c>
      <c r="BC25" s="26" t="s">
        <v>247</v>
      </c>
      <c r="BD25" s="26" t="s">
        <v>366</v>
      </c>
      <c r="BE25" s="29">
        <v>0.496</v>
      </c>
      <c r="BF25" s="26" t="s">
        <v>513</v>
      </c>
      <c r="BG25" s="26" t="s">
        <v>636</v>
      </c>
      <c r="BH25" s="29">
        <v>0.349</v>
      </c>
      <c r="BI25" s="26" t="s">
        <v>137</v>
      </c>
      <c r="BJ25" s="26" t="s">
        <v>370</v>
      </c>
      <c r="BK25" s="29">
        <v>0.213</v>
      </c>
      <c r="BL25" s="30">
        <v>0.781</v>
      </c>
      <c r="BM25" s="30">
        <v>0.855</v>
      </c>
      <c r="BN25" s="29">
        <v>0.226</v>
      </c>
      <c r="BO25" s="30">
        <v>0.766</v>
      </c>
      <c r="BP25" s="30">
        <v>0.857</v>
      </c>
      <c r="BQ25" s="26"/>
      <c r="BR25" s="26"/>
      <c r="BS25" s="27"/>
      <c r="BT25" s="26">
        <v>0.839</v>
      </c>
      <c r="BU25" s="26" t="s">
        <v>205</v>
      </c>
      <c r="BV25" s="26" t="s">
        <v>401</v>
      </c>
      <c r="BW25" s="26" t="s">
        <v>159</v>
      </c>
      <c r="BX25" s="26" t="s">
        <v>72</v>
      </c>
      <c r="BY25" s="26">
        <v>0.892</v>
      </c>
      <c r="BZ25" s="26" t="s">
        <v>637</v>
      </c>
      <c r="CA25" s="26" t="s">
        <v>382</v>
      </c>
      <c r="CB25" s="26" t="s">
        <v>638</v>
      </c>
      <c r="CC25" s="26" t="s">
        <v>639</v>
      </c>
      <c r="CD25" s="26" t="s">
        <v>301</v>
      </c>
      <c r="CE25" s="26" t="s">
        <v>436</v>
      </c>
      <c r="CF25" s="26" t="s">
        <v>193</v>
      </c>
      <c r="CG25" s="26" t="s">
        <v>640</v>
      </c>
      <c r="CH25" s="29">
        <v>0.9539877301</v>
      </c>
      <c r="CI25" s="29">
        <v>0.8795869244</v>
      </c>
      <c r="CJ25" s="29">
        <v>0.9289366053</v>
      </c>
      <c r="CK25" s="29">
        <v>0.6753032505</v>
      </c>
      <c r="CL25" s="29">
        <v>0.3941974477</v>
      </c>
      <c r="CM25" s="31">
        <v>0.735</v>
      </c>
      <c r="CN25" s="225">
        <v>0.783</v>
      </c>
      <c r="CO25" s="31">
        <v>0.448</v>
      </c>
      <c r="CP25" s="225">
        <v>0.181</v>
      </c>
      <c r="CQ25" s="28">
        <v>0.802</v>
      </c>
      <c r="CR25" s="29">
        <v>0.955</v>
      </c>
      <c r="CS25" s="29">
        <v>0.558</v>
      </c>
      <c r="CT25" s="29">
        <v>0.145</v>
      </c>
      <c r="CU25" s="29">
        <v>0.675</v>
      </c>
      <c r="CV25" s="29">
        <v>0.444</v>
      </c>
      <c r="CW25" s="29">
        <v>0.235</v>
      </c>
      <c r="CX25" s="29">
        <v>0.954</v>
      </c>
      <c r="CY25" s="29">
        <v>0.988</v>
      </c>
      <c r="CZ25" s="29">
        <v>0.722</v>
      </c>
      <c r="DA25" s="29">
        <v>0.375</v>
      </c>
      <c r="DB25" s="29">
        <v>0.922</v>
      </c>
      <c r="DC25" s="29">
        <v>0.838</v>
      </c>
      <c r="DD25" s="29">
        <v>0.339</v>
      </c>
      <c r="DE25" s="29">
        <v>0.634</v>
      </c>
      <c r="DF25" s="29">
        <v>0.815</v>
      </c>
      <c r="DG25" s="29">
        <v>0.57</v>
      </c>
      <c r="DH25" s="29">
        <v>0.434</v>
      </c>
      <c r="DI25" s="29">
        <v>0.23</v>
      </c>
      <c r="DJ25" s="29">
        <v>0.082</v>
      </c>
      <c r="DK25" s="29">
        <v>0.39</v>
      </c>
      <c r="DL25" s="29">
        <v>0.972</v>
      </c>
      <c r="DM25" s="29" t="s">
        <v>641</v>
      </c>
      <c r="DN25" s="29" t="s">
        <v>163</v>
      </c>
      <c r="DO25" s="29" t="s">
        <v>642</v>
      </c>
      <c r="DP25" s="32" t="s">
        <v>70</v>
      </c>
      <c r="DQ25" s="29">
        <v>0.515</v>
      </c>
      <c r="DR25" s="29">
        <v>0.673</v>
      </c>
      <c r="DS25" s="29">
        <v>0.835</v>
      </c>
      <c r="DT25" s="29">
        <v>0.257</v>
      </c>
      <c r="DU25" s="29">
        <v>0.111</v>
      </c>
      <c r="DZ25" s="286">
        <f t="shared" ref="DZ25:ED25" si="90">IFERROR(AVERAGE(IFERROR(VALUE(C25),""),IFERROR(VALUE(H25),""),IFERROR(VALUE(M25),""),IFERROR(VALUE(R25),""),IFERROR(VALUE(W25),""),IFERROR(VALUE(AB25),"")),"")</f>
        <v>0.8405</v>
      </c>
      <c r="EA25" s="287">
        <f t="shared" si="90"/>
        <v>0.811</v>
      </c>
      <c r="EB25" s="288">
        <f t="shared" si="90"/>
        <v>0.738</v>
      </c>
      <c r="EC25" s="289">
        <f t="shared" si="90"/>
        <v>0.5943333333</v>
      </c>
      <c r="ED25" s="290">
        <f t="shared" si="90"/>
        <v>0.3426666667</v>
      </c>
      <c r="EE25" s="291">
        <f t="shared" ref="EE25:EG25" si="91">IFERROR(AVERAGE(IFERROR(VALUE(AG25),""),IFERROR(VALUE(AJ25),""),IFERROR(VALUE(AM25),""),IFERROR(VALUE(AP25),""),IFERROR(VALUE(AS25),"")),"")</f>
        <v>0.3902</v>
      </c>
      <c r="EF25" s="271">
        <f t="shared" si="91"/>
        <v>0.7194</v>
      </c>
      <c r="EG25" s="292">
        <f t="shared" si="91"/>
        <v>0.6318</v>
      </c>
      <c r="EH25" s="68">
        <v>0.726</v>
      </c>
      <c r="EI25" s="37">
        <v>0.849</v>
      </c>
      <c r="EJ25" s="293">
        <f t="shared" si="77"/>
        <v>0.89499591</v>
      </c>
      <c r="EK25" s="294">
        <f t="shared" si="78"/>
        <v>0.7886467311</v>
      </c>
      <c r="EL25" s="295">
        <f t="shared" si="79"/>
        <v>0.7922341513</v>
      </c>
      <c r="EM25" s="296">
        <f t="shared" si="80"/>
        <v>0.5160758126</v>
      </c>
      <c r="EN25" s="57">
        <f t="shared" si="81"/>
        <v>0.2737993619</v>
      </c>
      <c r="EO25" s="297">
        <v>0.972</v>
      </c>
      <c r="EP25" s="254">
        <f t="shared" ref="EP25:EQ25" si="92">IFERROR(AVERAGE(IFERROR(VALUE(CQ25),""),IFERROR(VALUE(CX25),""),IFERROR(VALUE(DE25),""),IFERROR(VALUE(DM25),"")),"")</f>
        <v>0.81575</v>
      </c>
      <c r="EQ25" s="229">
        <f t="shared" si="92"/>
        <v>0.92225</v>
      </c>
      <c r="ER25" s="298">
        <f t="shared" ref="ER25:ES25" si="93">IFERROR(AVERAGE(IFERROR(VALUE(CU25),""),IFERROR(VALUE(DB25),""),IFERROR(VALUE(DI25),""),IFERROR(VALUE(DO25),"")),"")</f>
        <v>0.62875</v>
      </c>
      <c r="ES25" s="299">
        <f t="shared" si="93"/>
        <v>0.50275</v>
      </c>
      <c r="ET25" s="231">
        <f t="shared" ref="ET25:EU25" si="94">IFERROR(AVERAGE(IFERROR(VALUE(CS25),""),IFERROR(VALUE(CZ25),""),IFERROR(VALUE(DG25),"")),"")</f>
        <v>0.6166666667</v>
      </c>
      <c r="EU25" s="300">
        <f t="shared" si="94"/>
        <v>0.318</v>
      </c>
      <c r="EV25" s="51">
        <v>0.682</v>
      </c>
      <c r="EW25" s="51">
        <v>0.288</v>
      </c>
    </row>
    <row r="26">
      <c r="A26" s="52"/>
      <c r="B26" s="142" t="s">
        <v>643</v>
      </c>
      <c r="C26" s="25">
        <v>0.914</v>
      </c>
      <c r="D26" s="26" t="s">
        <v>644</v>
      </c>
      <c r="E26" s="26" t="s">
        <v>645</v>
      </c>
      <c r="F26" s="26" t="s">
        <v>646</v>
      </c>
      <c r="G26" s="26" t="s">
        <v>404</v>
      </c>
      <c r="H26" s="26">
        <v>0.789</v>
      </c>
      <c r="I26" s="26" t="s">
        <v>163</v>
      </c>
      <c r="J26" s="26" t="s">
        <v>231</v>
      </c>
      <c r="K26" s="26" t="s">
        <v>204</v>
      </c>
      <c r="L26" s="26" t="s">
        <v>498</v>
      </c>
      <c r="M26" s="26">
        <v>0.789</v>
      </c>
      <c r="N26" s="26" t="s">
        <v>123</v>
      </c>
      <c r="O26" s="26" t="s">
        <v>647</v>
      </c>
      <c r="P26" s="26" t="s">
        <v>351</v>
      </c>
      <c r="Q26" s="26" t="s">
        <v>217</v>
      </c>
      <c r="R26" s="26">
        <v>0.681</v>
      </c>
      <c r="S26" s="26" t="s">
        <v>88</v>
      </c>
      <c r="T26" s="26" t="s">
        <v>648</v>
      </c>
      <c r="U26" s="26" t="s">
        <v>157</v>
      </c>
      <c r="V26" s="26" t="s">
        <v>649</v>
      </c>
      <c r="W26" s="26">
        <v>0.906</v>
      </c>
      <c r="X26" s="26" t="s">
        <v>524</v>
      </c>
      <c r="Y26" s="26" t="s">
        <v>483</v>
      </c>
      <c r="Z26" s="26" t="s">
        <v>364</v>
      </c>
      <c r="AA26" s="26" t="s">
        <v>597</v>
      </c>
      <c r="AB26" s="26">
        <v>0.912</v>
      </c>
      <c r="AC26" s="26" t="s">
        <v>215</v>
      </c>
      <c r="AD26" s="26" t="s">
        <v>650</v>
      </c>
      <c r="AE26" s="26" t="s">
        <v>495</v>
      </c>
      <c r="AF26" s="27" t="s">
        <v>260</v>
      </c>
      <c r="AG26" s="26">
        <v>0.566</v>
      </c>
      <c r="AH26" s="26" t="s">
        <v>651</v>
      </c>
      <c r="AI26" s="26" t="s">
        <v>652</v>
      </c>
      <c r="AJ26" s="26">
        <v>0.118</v>
      </c>
      <c r="AK26" s="26" t="s">
        <v>479</v>
      </c>
      <c r="AL26" s="26" t="s">
        <v>653</v>
      </c>
      <c r="AM26" s="26">
        <v>0.527</v>
      </c>
      <c r="AN26" s="26" t="s">
        <v>564</v>
      </c>
      <c r="AO26" s="26" t="s">
        <v>255</v>
      </c>
      <c r="AP26" s="26">
        <v>0.366</v>
      </c>
      <c r="AQ26" s="26" t="s">
        <v>637</v>
      </c>
      <c r="AR26" s="26" t="s">
        <v>233</v>
      </c>
      <c r="AS26" s="26">
        <v>0.465</v>
      </c>
      <c r="AT26" s="26" t="s">
        <v>654</v>
      </c>
      <c r="AU26" s="26" t="s">
        <v>324</v>
      </c>
      <c r="AV26" s="28">
        <v>0.322</v>
      </c>
      <c r="AW26" s="26" t="s">
        <v>135</v>
      </c>
      <c r="AX26" s="26" t="s">
        <v>635</v>
      </c>
      <c r="AY26" s="29">
        <v>0.152</v>
      </c>
      <c r="AZ26" s="26" t="s">
        <v>282</v>
      </c>
      <c r="BA26" s="26" t="s">
        <v>492</v>
      </c>
      <c r="BB26" s="29">
        <v>0.257</v>
      </c>
      <c r="BC26" s="26" t="s">
        <v>391</v>
      </c>
      <c r="BD26" s="26" t="s">
        <v>140</v>
      </c>
      <c r="BE26" s="29">
        <v>0.493</v>
      </c>
      <c r="BF26" s="26" t="s">
        <v>513</v>
      </c>
      <c r="BG26" s="26" t="s">
        <v>396</v>
      </c>
      <c r="BH26" s="29">
        <v>0.404</v>
      </c>
      <c r="BI26" s="26" t="s">
        <v>164</v>
      </c>
      <c r="BJ26" s="26" t="s">
        <v>594</v>
      </c>
      <c r="BK26" s="29">
        <v>0.221</v>
      </c>
      <c r="BL26" s="30">
        <v>0.796</v>
      </c>
      <c r="BM26" s="30">
        <v>0.858</v>
      </c>
      <c r="BN26" s="29">
        <v>0.211</v>
      </c>
      <c r="BO26" s="29">
        <v>0.786</v>
      </c>
      <c r="BP26" s="29">
        <v>0.856</v>
      </c>
      <c r="BQ26" s="26"/>
      <c r="BR26" s="26"/>
      <c r="BS26" s="27"/>
      <c r="BT26" s="26">
        <v>0.834</v>
      </c>
      <c r="BU26" s="26" t="s">
        <v>162</v>
      </c>
      <c r="BV26" s="26" t="s">
        <v>242</v>
      </c>
      <c r="BW26" s="26" t="s">
        <v>548</v>
      </c>
      <c r="BX26" s="26" t="s">
        <v>623</v>
      </c>
      <c r="BY26" s="26">
        <v>0.894</v>
      </c>
      <c r="BZ26" s="26" t="s">
        <v>123</v>
      </c>
      <c r="CA26" s="26" t="s">
        <v>409</v>
      </c>
      <c r="CB26" s="26" t="s">
        <v>596</v>
      </c>
      <c r="CC26" s="26" t="s">
        <v>655</v>
      </c>
      <c r="CD26" s="26" t="s">
        <v>246</v>
      </c>
      <c r="CE26" s="26" t="s">
        <v>656</v>
      </c>
      <c r="CF26" s="26" t="s">
        <v>657</v>
      </c>
      <c r="CG26" s="26" t="s">
        <v>653</v>
      </c>
      <c r="CH26" s="29">
        <v>0.9440184049</v>
      </c>
      <c r="CI26" s="29">
        <v>0.8966524559</v>
      </c>
      <c r="CJ26" s="29">
        <v>0.9148773006</v>
      </c>
      <c r="CK26" s="29">
        <v>0.6807560083</v>
      </c>
      <c r="CL26" s="29">
        <v>0.3672806771</v>
      </c>
      <c r="CM26" s="31">
        <v>0.746</v>
      </c>
      <c r="CN26" s="31">
        <v>0.78</v>
      </c>
      <c r="CO26" s="225">
        <v>0.457</v>
      </c>
      <c r="CP26" s="31">
        <v>0.167</v>
      </c>
      <c r="CQ26" s="28">
        <v>0.811</v>
      </c>
      <c r="CR26" s="29">
        <v>0.93</v>
      </c>
      <c r="CS26" s="29">
        <v>0.574</v>
      </c>
      <c r="CT26" s="29">
        <v>0.191</v>
      </c>
      <c r="CU26" s="29">
        <v>0.701</v>
      </c>
      <c r="CV26" s="29">
        <v>0.505</v>
      </c>
      <c r="CW26" s="29">
        <v>0.225</v>
      </c>
      <c r="CX26" s="29">
        <v>0.954</v>
      </c>
      <c r="CY26" s="29">
        <v>0.995</v>
      </c>
      <c r="CZ26" s="29">
        <v>0.755</v>
      </c>
      <c r="DA26" s="29">
        <v>0.361</v>
      </c>
      <c r="DB26" s="29">
        <v>0.892</v>
      </c>
      <c r="DC26" s="29">
        <v>0.759</v>
      </c>
      <c r="DD26" s="29">
        <v>0.413</v>
      </c>
      <c r="DE26" s="29">
        <v>0.632</v>
      </c>
      <c r="DF26" s="29">
        <v>0.815</v>
      </c>
      <c r="DG26" s="29">
        <v>0.58</v>
      </c>
      <c r="DH26" s="29">
        <v>0.459</v>
      </c>
      <c r="DI26" s="29">
        <v>0.213</v>
      </c>
      <c r="DJ26" s="29">
        <v>0.076</v>
      </c>
      <c r="DK26" s="29">
        <v>0.428</v>
      </c>
      <c r="DL26" s="29">
        <v>0.977</v>
      </c>
      <c r="DM26" s="29" t="s">
        <v>286</v>
      </c>
      <c r="DN26" s="29" t="s">
        <v>134</v>
      </c>
      <c r="DO26" s="29" t="s">
        <v>350</v>
      </c>
      <c r="DP26" s="32" t="s">
        <v>658</v>
      </c>
      <c r="DQ26" s="29">
        <v>0.568</v>
      </c>
      <c r="DR26" s="29">
        <v>0.664</v>
      </c>
      <c r="DS26" s="29">
        <v>0.832</v>
      </c>
      <c r="DT26" s="29">
        <v>0.287</v>
      </c>
      <c r="DU26" s="29">
        <v>0.13</v>
      </c>
      <c r="DZ26" s="301">
        <f t="shared" ref="DZ26:ED26" si="95">IFERROR(AVERAGE(IFERROR(VALUE(C26),""),IFERROR(VALUE(H26),""),IFERROR(VALUE(M26),""),IFERROR(VALUE(R26),""),IFERROR(VALUE(W26),""),IFERROR(VALUE(AB26),"")),"")</f>
        <v>0.8318333333</v>
      </c>
      <c r="EA26" s="138">
        <f t="shared" si="95"/>
        <v>0.813</v>
      </c>
      <c r="EB26" s="138">
        <f t="shared" si="95"/>
        <v>0.7463333333</v>
      </c>
      <c r="EC26" s="302">
        <f t="shared" si="95"/>
        <v>0.6038333333</v>
      </c>
      <c r="ED26" s="303">
        <f t="shared" si="95"/>
        <v>0.3673333333</v>
      </c>
      <c r="EE26" s="65">
        <f t="shared" ref="EE26:EG26" si="96">IFERROR(AVERAGE(IFERROR(VALUE(AG26),""),IFERROR(VALUE(AJ26),""),IFERROR(VALUE(AM26),""),IFERROR(VALUE(AP26),""),IFERROR(VALUE(AS26),"")),"")</f>
        <v>0.4084</v>
      </c>
      <c r="EF26" s="138">
        <f t="shared" si="96"/>
        <v>0.7258</v>
      </c>
      <c r="EG26" s="304">
        <f t="shared" si="96"/>
        <v>0.6396</v>
      </c>
      <c r="EH26" s="138">
        <v>0.732</v>
      </c>
      <c r="EI26" s="305">
        <v>0.845</v>
      </c>
      <c r="EJ26" s="91">
        <f t="shared" si="77"/>
        <v>0.8906728016</v>
      </c>
      <c r="EK26" s="306">
        <f t="shared" si="78"/>
        <v>0.798163114</v>
      </c>
      <c r="EL26" s="45">
        <f t="shared" si="79"/>
        <v>0.7862193252</v>
      </c>
      <c r="EM26" s="124">
        <f t="shared" si="80"/>
        <v>0.5294390021</v>
      </c>
      <c r="EN26" s="113">
        <f t="shared" si="81"/>
        <v>0.2685701693</v>
      </c>
      <c r="EO26" s="307">
        <v>0.977</v>
      </c>
      <c r="EP26" s="308">
        <f t="shared" ref="EP26:EQ26" si="97">IFERROR(AVERAGE(IFERROR(VALUE(CQ26),""),IFERROR(VALUE(CX26),""),IFERROR(VALUE(DE26),""),IFERROR(VALUE(DM26),"")),"")</f>
        <v>0.81175</v>
      </c>
      <c r="EQ26" s="309">
        <f t="shared" si="97"/>
        <v>0.9195</v>
      </c>
      <c r="ER26" s="105">
        <f t="shared" ref="ER26:ES26" si="98">IFERROR(AVERAGE(IFERROR(VALUE(CU26),""),IFERROR(VALUE(DB26),""),IFERROR(VALUE(DI26),""),IFERROR(VALUE(DO26),"")),"")</f>
        <v>0.61675</v>
      </c>
      <c r="ES26" s="310">
        <f t="shared" si="98"/>
        <v>0.48475</v>
      </c>
      <c r="ET26" s="179">
        <f t="shared" ref="ET26:EU26" si="99">IFERROR(AVERAGE(IFERROR(VALUE(CS26),""),IFERROR(VALUE(CZ26),""),IFERROR(VALUE(DG26),"")),"")</f>
        <v>0.6363333333</v>
      </c>
      <c r="EU26" s="311">
        <f t="shared" si="99"/>
        <v>0.337</v>
      </c>
      <c r="EV26" s="51">
        <v>0.69</v>
      </c>
      <c r="EW26" s="51">
        <v>0.294</v>
      </c>
    </row>
    <row r="27">
      <c r="A27" s="52"/>
      <c r="B27" s="142" t="s">
        <v>659</v>
      </c>
      <c r="C27" s="25">
        <v>0.903</v>
      </c>
      <c r="D27" s="26" t="s">
        <v>75</v>
      </c>
      <c r="E27" s="26" t="s">
        <v>290</v>
      </c>
      <c r="F27" s="26" t="s">
        <v>301</v>
      </c>
      <c r="G27" s="26" t="s">
        <v>128</v>
      </c>
      <c r="H27" s="26">
        <v>0.818</v>
      </c>
      <c r="I27" s="26" t="s">
        <v>660</v>
      </c>
      <c r="J27" s="26" t="s">
        <v>219</v>
      </c>
      <c r="K27" s="26" t="s">
        <v>661</v>
      </c>
      <c r="L27" s="26" t="s">
        <v>319</v>
      </c>
      <c r="M27" s="26">
        <v>0.754</v>
      </c>
      <c r="N27" s="26" t="s">
        <v>368</v>
      </c>
      <c r="O27" s="26" t="s">
        <v>84</v>
      </c>
      <c r="P27" s="26" t="s">
        <v>662</v>
      </c>
      <c r="Q27" s="26" t="s">
        <v>157</v>
      </c>
      <c r="R27" s="26">
        <v>0.657</v>
      </c>
      <c r="S27" s="26" t="s">
        <v>284</v>
      </c>
      <c r="T27" s="26" t="s">
        <v>618</v>
      </c>
      <c r="U27" s="26" t="s">
        <v>663</v>
      </c>
      <c r="V27" s="26" t="s">
        <v>551</v>
      </c>
      <c r="W27" s="26">
        <v>0.871</v>
      </c>
      <c r="X27" s="26" t="s">
        <v>326</v>
      </c>
      <c r="Y27" s="26" t="s">
        <v>87</v>
      </c>
      <c r="Z27" s="26" t="s">
        <v>662</v>
      </c>
      <c r="AA27" s="26" t="s">
        <v>315</v>
      </c>
      <c r="AB27" s="26">
        <v>0.778</v>
      </c>
      <c r="AC27" s="26" t="s">
        <v>91</v>
      </c>
      <c r="AD27" s="26" t="s">
        <v>520</v>
      </c>
      <c r="AE27" s="26" t="s">
        <v>135</v>
      </c>
      <c r="AF27" s="27" t="s">
        <v>664</v>
      </c>
      <c r="AG27" s="26">
        <v>0.516</v>
      </c>
      <c r="AH27" s="26" t="s">
        <v>128</v>
      </c>
      <c r="AI27" s="26" t="s">
        <v>376</v>
      </c>
      <c r="AJ27" s="26">
        <v>0.099</v>
      </c>
      <c r="AK27" s="26" t="s">
        <v>330</v>
      </c>
      <c r="AL27" s="26" t="s">
        <v>592</v>
      </c>
      <c r="AM27" s="26">
        <v>0.546</v>
      </c>
      <c r="AN27" s="26" t="s">
        <v>582</v>
      </c>
      <c r="AO27" s="26" t="s">
        <v>546</v>
      </c>
      <c r="AP27" s="26">
        <v>0.19</v>
      </c>
      <c r="AQ27" s="26" t="s">
        <v>560</v>
      </c>
      <c r="AR27" s="26" t="s">
        <v>665</v>
      </c>
      <c r="AS27" s="26">
        <v>0.415</v>
      </c>
      <c r="AT27" s="26" t="s">
        <v>500</v>
      </c>
      <c r="AU27" s="26" t="s">
        <v>222</v>
      </c>
      <c r="AV27" s="28">
        <v>0.274</v>
      </c>
      <c r="AW27" s="26" t="s">
        <v>666</v>
      </c>
      <c r="AX27" s="26" t="s">
        <v>667</v>
      </c>
      <c r="AY27" s="29">
        <v>0.143</v>
      </c>
      <c r="AZ27" s="26" t="s">
        <v>656</v>
      </c>
      <c r="BA27" s="26" t="s">
        <v>668</v>
      </c>
      <c r="BB27" s="29">
        <v>0.224</v>
      </c>
      <c r="BC27" s="26" t="s">
        <v>132</v>
      </c>
      <c r="BD27" s="26" t="s">
        <v>236</v>
      </c>
      <c r="BE27" s="29">
        <v>0.436</v>
      </c>
      <c r="BF27" s="26" t="s">
        <v>80</v>
      </c>
      <c r="BG27" s="26" t="s">
        <v>455</v>
      </c>
      <c r="BH27" s="29">
        <v>0.283</v>
      </c>
      <c r="BI27" s="26" t="s">
        <v>95</v>
      </c>
      <c r="BJ27" s="26" t="s">
        <v>335</v>
      </c>
      <c r="BK27" s="29">
        <v>0.191</v>
      </c>
      <c r="BL27" s="29">
        <v>0.748</v>
      </c>
      <c r="BM27" s="29">
        <v>0.84</v>
      </c>
      <c r="BN27" s="29">
        <v>0.19</v>
      </c>
      <c r="BO27" s="29">
        <v>0.76</v>
      </c>
      <c r="BP27" s="29">
        <v>0.841</v>
      </c>
      <c r="BQ27" s="26"/>
      <c r="BR27" s="26"/>
      <c r="BS27" s="27"/>
      <c r="BT27" s="26">
        <v>0.923</v>
      </c>
      <c r="BU27" s="26" t="s">
        <v>615</v>
      </c>
      <c r="BV27" s="26" t="s">
        <v>594</v>
      </c>
      <c r="BW27" s="26" t="s">
        <v>386</v>
      </c>
      <c r="BX27" s="26" t="s">
        <v>496</v>
      </c>
      <c r="BY27" s="26">
        <v>0.943</v>
      </c>
      <c r="BZ27" s="26" t="s">
        <v>143</v>
      </c>
      <c r="CA27" s="26" t="s">
        <v>669</v>
      </c>
      <c r="CB27" s="26" t="s">
        <v>498</v>
      </c>
      <c r="CC27" s="26" t="s">
        <v>670</v>
      </c>
      <c r="CD27" s="26" t="s">
        <v>476</v>
      </c>
      <c r="CE27" s="26" t="s">
        <v>287</v>
      </c>
      <c r="CF27" s="26" t="s">
        <v>152</v>
      </c>
      <c r="CG27" s="26" t="s">
        <v>188</v>
      </c>
      <c r="CH27" s="29">
        <v>0.995398773</v>
      </c>
      <c r="CI27" s="29">
        <v>0.9890234858</v>
      </c>
      <c r="CJ27" s="29">
        <v>0.9961656442</v>
      </c>
      <c r="CK27" s="29">
        <v>0.9370619597</v>
      </c>
      <c r="CL27" s="29">
        <v>0.8036468401</v>
      </c>
      <c r="CM27" s="31">
        <v>0.716</v>
      </c>
      <c r="CN27" s="31">
        <v>0.727</v>
      </c>
      <c r="CO27" s="31">
        <v>0.402</v>
      </c>
      <c r="CP27" s="31">
        <v>0.127</v>
      </c>
      <c r="CQ27" s="28">
        <v>0.812</v>
      </c>
      <c r="CR27" s="29">
        <v>0.97</v>
      </c>
      <c r="CS27" s="29">
        <v>0.532</v>
      </c>
      <c r="CT27" s="29">
        <v>0.105</v>
      </c>
      <c r="CU27" s="29">
        <v>0.683</v>
      </c>
      <c r="CV27" s="29">
        <v>0.481</v>
      </c>
      <c r="CW27" s="29">
        <v>0.245</v>
      </c>
      <c r="CX27" s="29">
        <v>0.902</v>
      </c>
      <c r="CY27" s="29">
        <v>0.973</v>
      </c>
      <c r="CZ27" s="29">
        <v>0.702</v>
      </c>
      <c r="DA27" s="29">
        <v>0.356</v>
      </c>
      <c r="DB27" s="29">
        <v>0.809</v>
      </c>
      <c r="DC27" s="29">
        <v>0.682</v>
      </c>
      <c r="DD27" s="29">
        <v>0.474</v>
      </c>
      <c r="DE27" s="29">
        <v>0.641</v>
      </c>
      <c r="DF27" s="29">
        <v>0.815</v>
      </c>
      <c r="DG27" s="29">
        <v>0.572</v>
      </c>
      <c r="DH27" s="29">
        <v>0.341</v>
      </c>
      <c r="DI27" s="29">
        <v>0.252</v>
      </c>
      <c r="DJ27" s="29">
        <v>0.102</v>
      </c>
      <c r="DK27" s="29">
        <v>0.281</v>
      </c>
      <c r="DL27" s="29">
        <v>0.98</v>
      </c>
      <c r="DM27" s="29" t="s">
        <v>671</v>
      </c>
      <c r="DN27" s="29" t="s">
        <v>672</v>
      </c>
      <c r="DO27" s="29" t="s">
        <v>268</v>
      </c>
      <c r="DP27" s="32" t="s">
        <v>535</v>
      </c>
      <c r="DQ27" s="29">
        <v>0.475</v>
      </c>
      <c r="DR27" s="29">
        <v>0.664</v>
      </c>
      <c r="DS27" s="29">
        <v>0.785</v>
      </c>
      <c r="DT27" s="29">
        <v>0.32</v>
      </c>
      <c r="DU27" s="29">
        <v>0.132</v>
      </c>
      <c r="DZ27" s="312">
        <f t="shared" ref="DZ27:ED27" si="100">IFERROR(AVERAGE(IFERROR(VALUE(C27),""),IFERROR(VALUE(H27),""),IFERROR(VALUE(M27),""),IFERROR(VALUE(R27),""),IFERROR(VALUE(W27),""),IFERROR(VALUE(AB27),"")),"")</f>
        <v>0.7968333333</v>
      </c>
      <c r="EA27" s="313">
        <f t="shared" si="100"/>
        <v>0.792</v>
      </c>
      <c r="EB27" s="314">
        <f t="shared" si="100"/>
        <v>0.7073333333</v>
      </c>
      <c r="EC27" s="315">
        <f t="shared" si="100"/>
        <v>0.5621666667</v>
      </c>
      <c r="ED27" s="316">
        <f t="shared" si="100"/>
        <v>0.3266666667</v>
      </c>
      <c r="EE27" s="91">
        <f t="shared" ref="EE27:EG27" si="101">IFERROR(AVERAGE(IFERROR(VALUE(AG27),""),IFERROR(VALUE(AJ27),""),IFERROR(VALUE(AM27),""),IFERROR(VALUE(AP27),""),IFERROR(VALUE(AS27),"")),"")</f>
        <v>0.3532</v>
      </c>
      <c r="EF27" s="38">
        <f t="shared" si="101"/>
        <v>0.6868</v>
      </c>
      <c r="EG27" s="113">
        <f t="shared" si="101"/>
        <v>0.5934</v>
      </c>
      <c r="EH27" s="215">
        <v>0.705</v>
      </c>
      <c r="EI27" s="317">
        <v>0.825</v>
      </c>
      <c r="EJ27" s="318">
        <f t="shared" si="77"/>
        <v>0.953799591</v>
      </c>
      <c r="EK27" s="149">
        <f t="shared" si="78"/>
        <v>0.8062558715</v>
      </c>
      <c r="EL27" s="319">
        <f t="shared" si="79"/>
        <v>0.7907914111</v>
      </c>
      <c r="EM27" s="67">
        <f t="shared" si="80"/>
        <v>0.5650154899</v>
      </c>
      <c r="EN27" s="129">
        <f t="shared" si="81"/>
        <v>0.37416171</v>
      </c>
      <c r="EO27" s="320">
        <v>0.98</v>
      </c>
      <c r="EP27" s="321">
        <f t="shared" ref="EP27:EQ27" si="102">IFERROR(AVERAGE(IFERROR(VALUE(CQ27),""),IFERROR(VALUE(CX27),""),IFERROR(VALUE(DE27),""),IFERROR(VALUE(DM27),"")),"")</f>
        <v>0.80925</v>
      </c>
      <c r="EQ27" s="322">
        <f t="shared" si="102"/>
        <v>0.92625</v>
      </c>
      <c r="ER27" s="299">
        <f t="shared" ref="ER27:ES27" si="103">IFERROR(AVERAGE(IFERROR(VALUE(CU27),""),IFERROR(VALUE(DB27),""),IFERROR(VALUE(DI27),""),IFERROR(VALUE(DO27),"")),"")</f>
        <v>0.61775</v>
      </c>
      <c r="ES27" s="310">
        <f t="shared" si="103"/>
        <v>0.4855</v>
      </c>
      <c r="ET27" s="323">
        <f t="shared" ref="ET27:EU27" si="104">IFERROR(AVERAGE(IFERROR(VALUE(CS27),""),IFERROR(VALUE(CZ27),""),IFERROR(VALUE(DG27),"")),"")</f>
        <v>0.602</v>
      </c>
      <c r="EU27" s="173">
        <f t="shared" si="104"/>
        <v>0.2673333333</v>
      </c>
      <c r="EV27" s="51">
        <v>0.673</v>
      </c>
      <c r="EW27" s="51">
        <v>0.249</v>
      </c>
    </row>
    <row r="28">
      <c r="A28" s="166"/>
      <c r="B28" s="324" t="s">
        <v>673</v>
      </c>
      <c r="C28" s="325">
        <v>0.885</v>
      </c>
      <c r="D28" s="326" t="s">
        <v>395</v>
      </c>
      <c r="E28" s="326" t="s">
        <v>645</v>
      </c>
      <c r="F28" s="326" t="s">
        <v>140</v>
      </c>
      <c r="G28" s="326" t="s">
        <v>100</v>
      </c>
      <c r="H28" s="326">
        <v>0.755</v>
      </c>
      <c r="I28" s="326" t="s">
        <v>674</v>
      </c>
      <c r="J28" s="326" t="s">
        <v>236</v>
      </c>
      <c r="K28" s="326" t="s">
        <v>541</v>
      </c>
      <c r="L28" s="326" t="s">
        <v>675</v>
      </c>
      <c r="M28" s="326">
        <v>0.754</v>
      </c>
      <c r="N28" s="326" t="s">
        <v>195</v>
      </c>
      <c r="O28" s="326" t="s">
        <v>196</v>
      </c>
      <c r="P28" s="326" t="s">
        <v>676</v>
      </c>
      <c r="Q28" s="326" t="s">
        <v>677</v>
      </c>
      <c r="R28" s="326">
        <v>0.65</v>
      </c>
      <c r="S28" s="326" t="s">
        <v>124</v>
      </c>
      <c r="T28" s="326" t="s">
        <v>678</v>
      </c>
      <c r="U28" s="326" t="s">
        <v>381</v>
      </c>
      <c r="V28" s="326" t="s">
        <v>448</v>
      </c>
      <c r="W28" s="326">
        <v>0.863</v>
      </c>
      <c r="X28" s="326" t="s">
        <v>679</v>
      </c>
      <c r="Y28" s="326" t="s">
        <v>367</v>
      </c>
      <c r="Z28" s="326" t="s">
        <v>680</v>
      </c>
      <c r="AA28" s="326" t="s">
        <v>480</v>
      </c>
      <c r="AB28" s="326">
        <v>0.818</v>
      </c>
      <c r="AC28" s="326" t="s">
        <v>650</v>
      </c>
      <c r="AD28" s="326" t="s">
        <v>493</v>
      </c>
      <c r="AE28" s="326" t="s">
        <v>361</v>
      </c>
      <c r="AF28" s="327" t="s">
        <v>681</v>
      </c>
      <c r="AG28" s="326">
        <v>0.528</v>
      </c>
      <c r="AH28" s="326" t="s">
        <v>558</v>
      </c>
      <c r="AI28" s="326" t="s">
        <v>682</v>
      </c>
      <c r="AJ28" s="326">
        <v>0.099</v>
      </c>
      <c r="AK28" s="326" t="s">
        <v>463</v>
      </c>
      <c r="AL28" s="326" t="s">
        <v>683</v>
      </c>
      <c r="AM28" s="326">
        <v>0.536</v>
      </c>
      <c r="AN28" s="326" t="s">
        <v>587</v>
      </c>
      <c r="AO28" s="326" t="s">
        <v>138</v>
      </c>
      <c r="AP28" s="326">
        <v>0.17</v>
      </c>
      <c r="AQ28" s="326" t="s">
        <v>262</v>
      </c>
      <c r="AR28" s="326" t="s">
        <v>684</v>
      </c>
      <c r="AS28" s="326">
        <v>0.445</v>
      </c>
      <c r="AT28" s="326" t="s">
        <v>246</v>
      </c>
      <c r="AU28" s="326" t="s">
        <v>240</v>
      </c>
      <c r="AV28" s="328">
        <v>0.265</v>
      </c>
      <c r="AW28" s="326" t="s">
        <v>637</v>
      </c>
      <c r="AX28" s="326" t="s">
        <v>685</v>
      </c>
      <c r="AY28" s="329">
        <v>0.129</v>
      </c>
      <c r="AZ28" s="326" t="s">
        <v>686</v>
      </c>
      <c r="BA28" s="326" t="s">
        <v>687</v>
      </c>
      <c r="BB28" s="329">
        <v>0.219</v>
      </c>
      <c r="BC28" s="326" t="s">
        <v>471</v>
      </c>
      <c r="BD28" s="326" t="s">
        <v>135</v>
      </c>
      <c r="BE28" s="329">
        <v>0.452</v>
      </c>
      <c r="BF28" s="326" t="s">
        <v>154</v>
      </c>
      <c r="BG28" s="326" t="s">
        <v>688</v>
      </c>
      <c r="BH28" s="329">
        <v>0.328</v>
      </c>
      <c r="BI28" s="326" t="s">
        <v>311</v>
      </c>
      <c r="BJ28" s="326" t="s">
        <v>167</v>
      </c>
      <c r="BK28" s="329">
        <v>0.203</v>
      </c>
      <c r="BL28" s="329">
        <v>0.763</v>
      </c>
      <c r="BM28" s="329">
        <v>0.824</v>
      </c>
      <c r="BN28" s="329">
        <v>0.192</v>
      </c>
      <c r="BO28" s="329">
        <v>0.76</v>
      </c>
      <c r="BP28" s="329">
        <v>0.826</v>
      </c>
      <c r="BQ28" s="326"/>
      <c r="BR28" s="326"/>
      <c r="BS28" s="327"/>
      <c r="BT28" s="326">
        <v>0.883</v>
      </c>
      <c r="BU28" s="326" t="s">
        <v>132</v>
      </c>
      <c r="BV28" s="326" t="s">
        <v>309</v>
      </c>
      <c r="BW28" s="326" t="s">
        <v>363</v>
      </c>
      <c r="BX28" s="326" t="s">
        <v>689</v>
      </c>
      <c r="BY28" s="326">
        <v>0.879</v>
      </c>
      <c r="BZ28" s="326" t="s">
        <v>123</v>
      </c>
      <c r="CA28" s="326" t="s">
        <v>449</v>
      </c>
      <c r="CB28" s="326" t="s">
        <v>482</v>
      </c>
      <c r="CC28" s="326" t="s">
        <v>221</v>
      </c>
      <c r="CD28" s="326" t="s">
        <v>591</v>
      </c>
      <c r="CE28" s="326" t="s">
        <v>138</v>
      </c>
      <c r="CF28" s="326" t="s">
        <v>138</v>
      </c>
      <c r="CG28" s="326" t="s">
        <v>690</v>
      </c>
      <c r="CH28" s="329">
        <v>0.9905419223</v>
      </c>
      <c r="CI28" s="329">
        <v>0.9800828922</v>
      </c>
      <c r="CJ28" s="329">
        <v>0.9930981595</v>
      </c>
      <c r="CK28" s="329">
        <v>0.8984056943</v>
      </c>
      <c r="CL28" s="329">
        <v>0.7105403059</v>
      </c>
      <c r="CM28" s="330">
        <v>0.703</v>
      </c>
      <c r="CN28" s="330">
        <v>0.692</v>
      </c>
      <c r="CO28" s="330">
        <v>0.383</v>
      </c>
      <c r="CP28" s="330">
        <v>0.124</v>
      </c>
      <c r="CQ28" s="328">
        <v>0.764</v>
      </c>
      <c r="CR28" s="329">
        <v>0.94</v>
      </c>
      <c r="CS28" s="329">
        <v>0.509</v>
      </c>
      <c r="CT28" s="329">
        <v>0.117</v>
      </c>
      <c r="CU28" s="329">
        <v>0.443</v>
      </c>
      <c r="CV28" s="329">
        <v>0.189</v>
      </c>
      <c r="CW28" s="329">
        <v>0.195</v>
      </c>
      <c r="CX28" s="329">
        <v>0.911</v>
      </c>
      <c r="CY28" s="329">
        <v>0.943</v>
      </c>
      <c r="CZ28" s="329">
        <v>0.688</v>
      </c>
      <c r="DA28" s="329">
        <v>0.305</v>
      </c>
      <c r="DB28" s="329">
        <v>0.829</v>
      </c>
      <c r="DC28" s="329">
        <v>0.667</v>
      </c>
      <c r="DD28" s="329">
        <v>0.354</v>
      </c>
      <c r="DE28" s="329">
        <v>0.632</v>
      </c>
      <c r="DF28" s="329">
        <v>0.735</v>
      </c>
      <c r="DG28" s="329">
        <v>0.557</v>
      </c>
      <c r="DH28" s="329">
        <v>0.266</v>
      </c>
      <c r="DI28" s="329">
        <v>0.241</v>
      </c>
      <c r="DJ28" s="329">
        <v>0.086</v>
      </c>
      <c r="DK28" s="329">
        <v>0.326</v>
      </c>
      <c r="DL28" s="329">
        <v>0.949</v>
      </c>
      <c r="DM28" s="329" t="s">
        <v>691</v>
      </c>
      <c r="DN28" s="329" t="s">
        <v>141</v>
      </c>
      <c r="DO28" s="329" t="s">
        <v>67</v>
      </c>
      <c r="DP28" s="331" t="s">
        <v>472</v>
      </c>
      <c r="DQ28" s="29">
        <v>0.429</v>
      </c>
      <c r="DR28" s="29">
        <v>0.65</v>
      </c>
      <c r="DS28" s="29">
        <v>0.752</v>
      </c>
      <c r="DT28" s="29">
        <v>0.244</v>
      </c>
      <c r="DU28" s="29">
        <v>0.097</v>
      </c>
      <c r="DZ28" s="332">
        <f t="shared" ref="DZ28:ED28" si="105">IFERROR(AVERAGE(IFERROR(VALUE(C28),""),IFERROR(VALUE(H28),""),IFERROR(VALUE(M28),""),IFERROR(VALUE(R28),""),IFERROR(VALUE(W28),""),IFERROR(VALUE(AB28),"")),"")</f>
        <v>0.7875</v>
      </c>
      <c r="EA28" s="333">
        <f t="shared" si="105"/>
        <v>0.7905</v>
      </c>
      <c r="EB28" s="334">
        <f t="shared" si="105"/>
        <v>0.6926666667</v>
      </c>
      <c r="EC28" s="335">
        <f t="shared" si="105"/>
        <v>0.5361666667</v>
      </c>
      <c r="ED28" s="336">
        <f t="shared" si="105"/>
        <v>0.2746666667</v>
      </c>
      <c r="EE28" s="337">
        <f t="shared" ref="EE28:EG28" si="106">IFERROR(AVERAGE(IFERROR(VALUE(AG28),""),IFERROR(VALUE(AJ28),""),IFERROR(VALUE(AM28),""),IFERROR(VALUE(AP28),""),IFERROR(VALUE(AS28),"")),"")</f>
        <v>0.3556</v>
      </c>
      <c r="EF28" s="338">
        <f t="shared" si="106"/>
        <v>0.7042</v>
      </c>
      <c r="EG28" s="339">
        <f t="shared" si="106"/>
        <v>0.5528</v>
      </c>
      <c r="EH28" s="340">
        <v>0.706</v>
      </c>
      <c r="EI28" s="341">
        <v>0.803</v>
      </c>
      <c r="EJ28" s="342">
        <f t="shared" si="77"/>
        <v>0.9175139741</v>
      </c>
      <c r="EK28" s="254">
        <f t="shared" si="78"/>
        <v>0.7975207231</v>
      </c>
      <c r="EL28" s="83">
        <f t="shared" si="79"/>
        <v>0.7522745399</v>
      </c>
      <c r="EM28" s="343">
        <f t="shared" si="80"/>
        <v>0.5301014236</v>
      </c>
      <c r="EN28" s="344">
        <f t="shared" si="81"/>
        <v>0.3138850765</v>
      </c>
      <c r="EO28" s="345">
        <v>0.949</v>
      </c>
      <c r="EP28" s="346">
        <f t="shared" ref="EP28:EQ28" si="107">IFERROR(AVERAGE(IFERROR(VALUE(CQ28),""),IFERROR(VALUE(CX28),""),IFERROR(VALUE(DE28),""),IFERROR(VALUE(DM28),"")),"")</f>
        <v>0.7755</v>
      </c>
      <c r="EQ28" s="347">
        <f t="shared" si="107"/>
        <v>0.87875</v>
      </c>
      <c r="ER28" s="348">
        <f t="shared" ref="ER28:ES28" si="108">IFERROR(AVERAGE(IFERROR(VALUE(CU28),""),IFERROR(VALUE(DB28),""),IFERROR(VALUE(DI28),""),IFERROR(VALUE(DO28),"")),"")</f>
        <v>0.486</v>
      </c>
      <c r="ES28" s="349">
        <f t="shared" si="108"/>
        <v>0.3</v>
      </c>
      <c r="ET28" s="350">
        <f t="shared" ref="ET28:EU28" si="109">IFERROR(AVERAGE(IFERROR(VALUE(CS28),""),IFERROR(VALUE(CZ28),""),IFERROR(VALUE(DG28),"")),"")</f>
        <v>0.5846666667</v>
      </c>
      <c r="EU28" s="351">
        <f t="shared" si="109"/>
        <v>0.2293333333</v>
      </c>
      <c r="EV28" s="51">
        <v>0.637</v>
      </c>
      <c r="EW28" s="51">
        <v>0.255</v>
      </c>
    </row>
    <row r="29"/>
    <row r="30"/>
    <row r="31"/>
    <row r="32"/>
    <row r="33"/>
    <row r="34"/>
    <row r="35"/>
    <row r="36"/>
    <row r="37">
      <c r="R37" s="1" t="s">
        <v>692</v>
      </c>
    </row>
    <row r="38">
      <c r="A38" s="1" t="s">
        <v>693</v>
      </c>
    </row>
    <row r="39"/>
    <row r="40"/>
    <row r="41"/>
    <row r="42"/>
    <row r="43"/>
    <row r="44">
      <c r="CD44" s="1" t="s">
        <v>13</v>
      </c>
      <c r="CH44" s="1" t="s">
        <v>14</v>
      </c>
      <c r="CI44" s="1" t="s">
        <v>15</v>
      </c>
    </row>
    <row r="45">
      <c r="BU45" s="1" t="s">
        <v>694</v>
      </c>
      <c r="CD45" s="1">
        <v>0.714</v>
      </c>
      <c r="CH45" s="1">
        <v>0.621</v>
      </c>
      <c r="CI45" s="1">
        <v>0.387</v>
      </c>
    </row>
    <row r="46">
      <c r="BU46" s="1" t="s">
        <v>695</v>
      </c>
      <c r="CD46" s="1">
        <v>0.282</v>
      </c>
      <c r="CH46" s="1">
        <v>0.755</v>
      </c>
      <c r="CI46" s="1">
        <v>0.491</v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conditionalFormatting sqref="DZ5:DZ46">
    <cfRule type="colorScale" priority="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A5:EA46">
    <cfRule type="colorScale" priority="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B5:EB46">
    <cfRule type="colorScale" priority="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C5:EC46">
    <cfRule type="colorScale" priority="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D5:ED46">
    <cfRule type="colorScale" priority="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E5:EE46">
    <cfRule type="colorScale" priority="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F5:EF46">
    <cfRule type="colorScale" priority="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G5:EG46">
    <cfRule type="colorScale" priority="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H5:EH46">
    <cfRule type="colorScale" priority="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I5:EI46">
    <cfRule type="colorScale" priority="1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J5:EJ46">
    <cfRule type="colorScale" priority="1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K5:EK46">
    <cfRule type="colorScale" priority="1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L5:EL46">
    <cfRule type="colorScale" priority="1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M5:EM46">
    <cfRule type="colorScale" priority="1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N5:EN46">
    <cfRule type="colorScale" priority="1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O5:EO46">
    <cfRule type="colorScale" priority="1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P5:EP46">
    <cfRule type="colorScale" priority="1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Q5:EQ46">
    <cfRule type="colorScale" priority="1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R5:ER46">
    <cfRule type="colorScale" priority="1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S5:ES46">
    <cfRule type="colorScale" priority="2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T5:EU46 EV29:EW46">
    <cfRule type="colorScale" priority="2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W5:EW28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V5:EV28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14.86"/>
    <col customWidth="1" min="2" max="2" width="35.57"/>
    <col customWidth="1" min="3" max="71" width="8.71"/>
    <col customWidth="1" hidden="1" min="72" max="72" width="14.71"/>
    <col customWidth="1" hidden="1" min="73" max="76" width="8.71"/>
    <col customWidth="1" min="77" max="77" width="17.0"/>
    <col customWidth="1" min="78" max="78" width="16.86"/>
    <col customWidth="1" min="79" max="90" width="8.71"/>
    <col customWidth="1" min="91" max="94" width="12.57"/>
    <col customWidth="1" min="95" max="114" width="8.71"/>
    <col customWidth="1" min="115" max="115" width="14.29"/>
    <col customWidth="1" min="116" max="125" width="8.71"/>
    <col customWidth="1" min="126" max="126" width="40.71"/>
    <col customWidth="1" min="127" max="133" width="8.71"/>
    <col customWidth="1" min="134" max="134" width="12.71"/>
    <col customWidth="1" min="135" max="139" width="8.71"/>
    <col customWidth="1" min="140" max="140" width="13.14"/>
    <col customWidth="1" min="141" max="153" width="8.71"/>
  </cols>
  <sheetData>
    <row r="1">
      <c r="A1" s="1" t="s">
        <v>0</v>
      </c>
    </row>
    <row r="2">
      <c r="A2" s="1" t="s">
        <v>1</v>
      </c>
      <c r="C2" s="2" t="s">
        <v>2</v>
      </c>
      <c r="AG2" s="1" t="s">
        <v>3</v>
      </c>
      <c r="AV2" s="1" t="s">
        <v>4</v>
      </c>
      <c r="BY2" s="1" t="s">
        <v>5</v>
      </c>
      <c r="CQ2" s="1" t="s">
        <v>6</v>
      </c>
      <c r="DZ2" s="3" t="s">
        <v>7</v>
      </c>
      <c r="EA2" s="4"/>
      <c r="EB2" s="4"/>
      <c r="EC2" s="4"/>
      <c r="ED2" s="4"/>
      <c r="EE2" s="3" t="s">
        <v>8</v>
      </c>
      <c r="EF2" s="4"/>
      <c r="EG2" s="4"/>
      <c r="EH2" s="3" t="s">
        <v>9</v>
      </c>
      <c r="EI2" s="5"/>
      <c r="EJ2" s="6" t="s">
        <v>10</v>
      </c>
      <c r="EK2" s="7" t="s">
        <v>10</v>
      </c>
      <c r="EL2" s="8"/>
      <c r="EM2" s="8"/>
      <c r="EN2" s="9"/>
      <c r="EO2" s="10" t="s">
        <v>11</v>
      </c>
      <c r="EP2" s="4"/>
      <c r="EQ2" s="4"/>
      <c r="ER2" s="4"/>
      <c r="ES2" s="4"/>
      <c r="ET2" s="4"/>
      <c r="EU2" s="4"/>
      <c r="EV2" s="4"/>
      <c r="EW2" s="4"/>
    </row>
    <row r="3"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13</v>
      </c>
      <c r="I3" s="11" t="s">
        <v>13</v>
      </c>
      <c r="J3" s="11" t="s">
        <v>13</v>
      </c>
      <c r="K3" s="11" t="s">
        <v>13</v>
      </c>
      <c r="L3" s="11" t="s">
        <v>13</v>
      </c>
      <c r="M3" s="11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15</v>
      </c>
      <c r="S3" s="11" t="s">
        <v>15</v>
      </c>
      <c r="T3" s="11" t="s">
        <v>15</v>
      </c>
      <c r="U3" s="11" t="s">
        <v>15</v>
      </c>
      <c r="V3" s="11" t="s">
        <v>15</v>
      </c>
      <c r="W3" s="11" t="s">
        <v>16</v>
      </c>
      <c r="X3" s="11" t="s">
        <v>16</v>
      </c>
      <c r="Y3" s="11" t="s">
        <v>16</v>
      </c>
      <c r="Z3" s="11" t="s">
        <v>16</v>
      </c>
      <c r="AA3" s="11" t="s">
        <v>16</v>
      </c>
      <c r="AB3" s="11" t="s">
        <v>17</v>
      </c>
      <c r="AC3" s="11" t="s">
        <v>17</v>
      </c>
      <c r="AD3" s="11" t="s">
        <v>17</v>
      </c>
      <c r="AE3" s="11" t="s">
        <v>17</v>
      </c>
      <c r="AF3" s="11" t="s">
        <v>17</v>
      </c>
      <c r="AG3" s="11" t="s">
        <v>18</v>
      </c>
      <c r="AH3" s="11" t="s">
        <v>18</v>
      </c>
      <c r="AI3" s="11" t="s">
        <v>18</v>
      </c>
      <c r="AJ3" s="11" t="s">
        <v>19</v>
      </c>
      <c r="AK3" s="11" t="s">
        <v>19</v>
      </c>
      <c r="AL3" s="11" t="s">
        <v>19</v>
      </c>
      <c r="AM3" s="11" t="s">
        <v>20</v>
      </c>
      <c r="AN3" s="11" t="s">
        <v>20</v>
      </c>
      <c r="AO3" s="11" t="s">
        <v>20</v>
      </c>
      <c r="AP3" s="11" t="s">
        <v>21</v>
      </c>
      <c r="AQ3" s="11" t="s">
        <v>21</v>
      </c>
      <c r="AR3" s="11" t="s">
        <v>21</v>
      </c>
      <c r="AS3" s="11" t="s">
        <v>22</v>
      </c>
      <c r="AT3" s="11" t="s">
        <v>22</v>
      </c>
      <c r="AU3" s="11" t="s">
        <v>22</v>
      </c>
      <c r="AV3" s="11" t="s">
        <v>23</v>
      </c>
      <c r="AW3" s="11" t="s">
        <v>23</v>
      </c>
      <c r="AX3" s="11" t="s">
        <v>23</v>
      </c>
      <c r="AY3" s="11" t="s">
        <v>24</v>
      </c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25</v>
      </c>
      <c r="BE3" s="11" t="s">
        <v>26</v>
      </c>
      <c r="BF3" s="11" t="s">
        <v>26</v>
      </c>
      <c r="BG3" s="11" t="s">
        <v>26</v>
      </c>
      <c r="BH3" s="11" t="s">
        <v>27</v>
      </c>
      <c r="BI3" s="11" t="s">
        <v>27</v>
      </c>
      <c r="BJ3" s="11" t="s">
        <v>27</v>
      </c>
      <c r="BK3" s="11" t="s">
        <v>28</v>
      </c>
      <c r="BL3" s="11" t="s">
        <v>28</v>
      </c>
      <c r="BM3" s="11" t="s">
        <v>28</v>
      </c>
      <c r="BN3" s="11" t="s">
        <v>29</v>
      </c>
      <c r="BO3" s="11" t="s">
        <v>29</v>
      </c>
      <c r="BP3" s="11" t="s">
        <v>29</v>
      </c>
      <c r="BQ3" s="11" t="s">
        <v>30</v>
      </c>
      <c r="BR3" s="11" t="s">
        <v>30</v>
      </c>
      <c r="BS3" s="11" t="s">
        <v>30</v>
      </c>
      <c r="BT3" s="11" t="s">
        <v>31</v>
      </c>
      <c r="BU3" s="11" t="s">
        <v>31</v>
      </c>
      <c r="BV3" s="11" t="s">
        <v>31</v>
      </c>
      <c r="BW3" s="11" t="s">
        <v>31</v>
      </c>
      <c r="BX3" s="11" t="s">
        <v>31</v>
      </c>
      <c r="BY3" s="11" t="s">
        <v>32</v>
      </c>
      <c r="BZ3" s="11" t="s">
        <v>32</v>
      </c>
      <c r="CA3" s="11" t="s">
        <v>32</v>
      </c>
      <c r="CB3" s="11" t="s">
        <v>32</v>
      </c>
      <c r="CC3" s="11" t="s">
        <v>32</v>
      </c>
      <c r="CD3" s="11" t="s">
        <v>33</v>
      </c>
      <c r="CE3" s="11" t="s">
        <v>33</v>
      </c>
      <c r="CF3" s="11" t="s">
        <v>33</v>
      </c>
      <c r="CG3" s="11" t="s">
        <v>33</v>
      </c>
      <c r="CH3" s="11" t="s">
        <v>34</v>
      </c>
      <c r="CI3" s="11" t="s">
        <v>34</v>
      </c>
      <c r="CJ3" s="11" t="s">
        <v>34</v>
      </c>
      <c r="CK3" s="11" t="s">
        <v>34</v>
      </c>
      <c r="CL3" s="11" t="s">
        <v>34</v>
      </c>
      <c r="CM3" s="12" t="s">
        <v>35</v>
      </c>
      <c r="CN3" s="12" t="s">
        <v>35</v>
      </c>
      <c r="CO3" s="12" t="s">
        <v>35</v>
      </c>
      <c r="CP3" s="12" t="s">
        <v>35</v>
      </c>
      <c r="CQ3" s="11" t="s">
        <v>36</v>
      </c>
      <c r="CR3" s="11" t="s">
        <v>36</v>
      </c>
      <c r="CS3" s="11" t="s">
        <v>36</v>
      </c>
      <c r="CT3" s="11" t="s">
        <v>36</v>
      </c>
      <c r="CU3" s="11" t="s">
        <v>36</v>
      </c>
      <c r="CV3" s="11" t="s">
        <v>36</v>
      </c>
      <c r="CW3" s="11" t="s">
        <v>36</v>
      </c>
      <c r="CX3" s="11" t="s">
        <v>37</v>
      </c>
      <c r="CY3" s="11" t="s">
        <v>37</v>
      </c>
      <c r="CZ3" s="11" t="s">
        <v>37</v>
      </c>
      <c r="DA3" s="11" t="s">
        <v>37</v>
      </c>
      <c r="DB3" s="11" t="s">
        <v>37</v>
      </c>
      <c r="DC3" s="11" t="s">
        <v>37</v>
      </c>
      <c r="DD3" s="11" t="s">
        <v>37</v>
      </c>
      <c r="DE3" s="11" t="s">
        <v>38</v>
      </c>
      <c r="DF3" s="11" t="s">
        <v>38</v>
      </c>
      <c r="DG3" s="11" t="s">
        <v>38</v>
      </c>
      <c r="DH3" s="11" t="s">
        <v>38</v>
      </c>
      <c r="DI3" s="11" t="s">
        <v>38</v>
      </c>
      <c r="DJ3" s="11" t="s">
        <v>38</v>
      </c>
      <c r="DK3" s="11" t="s">
        <v>38</v>
      </c>
      <c r="DL3" s="11" t="s">
        <v>39</v>
      </c>
      <c r="DM3" s="11" t="s">
        <v>39</v>
      </c>
      <c r="DN3" s="11" t="s">
        <v>39</v>
      </c>
      <c r="DO3" s="11" t="s">
        <v>39</v>
      </c>
      <c r="DP3" s="11" t="s">
        <v>39</v>
      </c>
      <c r="DQ3" s="4" t="s">
        <v>40</v>
      </c>
      <c r="DR3" s="4" t="s">
        <v>40</v>
      </c>
      <c r="DS3" s="4" t="s">
        <v>40</v>
      </c>
      <c r="DT3" s="4" t="s">
        <v>40</v>
      </c>
      <c r="DU3" s="4" t="s">
        <v>40</v>
      </c>
      <c r="DZ3" s="13" t="s">
        <v>41</v>
      </c>
      <c r="EA3" s="14" t="s">
        <v>41</v>
      </c>
      <c r="EB3" s="14" t="s">
        <v>41</v>
      </c>
      <c r="EC3" s="14" t="s">
        <v>41</v>
      </c>
      <c r="ED3" s="15" t="s">
        <v>41</v>
      </c>
      <c r="EE3" s="13" t="s">
        <v>42</v>
      </c>
      <c r="EF3" s="14" t="s">
        <v>42</v>
      </c>
      <c r="EG3" s="15" t="s">
        <v>42</v>
      </c>
      <c r="EH3" s="14" t="s">
        <v>4</v>
      </c>
      <c r="EI3" s="15" t="s">
        <v>4</v>
      </c>
      <c r="EJ3" s="16" t="s">
        <v>5</v>
      </c>
      <c r="EK3" s="17" t="s">
        <v>5</v>
      </c>
      <c r="EL3" s="17" t="s">
        <v>5</v>
      </c>
      <c r="EM3" s="17" t="s">
        <v>5</v>
      </c>
      <c r="EN3" s="18" t="s">
        <v>5</v>
      </c>
      <c r="EO3" s="13" t="s">
        <v>43</v>
      </c>
      <c r="EP3" s="14" t="s">
        <v>43</v>
      </c>
      <c r="EQ3" s="14" t="s">
        <v>43</v>
      </c>
      <c r="ER3" s="14" t="s">
        <v>43</v>
      </c>
      <c r="ES3" s="14" t="s">
        <v>43</v>
      </c>
      <c r="ET3" s="14" t="s">
        <v>43</v>
      </c>
      <c r="EU3" s="15" t="s">
        <v>43</v>
      </c>
      <c r="EV3" s="5" t="s">
        <v>43</v>
      </c>
      <c r="EW3" s="5" t="s">
        <v>4</v>
      </c>
    </row>
    <row r="4"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44</v>
      </c>
      <c r="N4" s="11" t="s">
        <v>45</v>
      </c>
      <c r="O4" s="11" t="s">
        <v>46</v>
      </c>
      <c r="P4" s="11" t="s">
        <v>47</v>
      </c>
      <c r="Q4" s="11" t="s">
        <v>48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1" t="s">
        <v>44</v>
      </c>
      <c r="AC4" s="11" t="s">
        <v>45</v>
      </c>
      <c r="AD4" s="11" t="s">
        <v>46</v>
      </c>
      <c r="AE4" s="11" t="s">
        <v>47</v>
      </c>
      <c r="AF4" s="11" t="s">
        <v>48</v>
      </c>
      <c r="AG4" s="11" t="s">
        <v>44</v>
      </c>
      <c r="AH4" s="11" t="s">
        <v>45</v>
      </c>
      <c r="AI4" s="11" t="s">
        <v>46</v>
      </c>
      <c r="AJ4" s="11" t="s">
        <v>44</v>
      </c>
      <c r="AK4" s="11" t="s">
        <v>45</v>
      </c>
      <c r="AL4" s="11" t="s">
        <v>46</v>
      </c>
      <c r="AM4" s="11" t="s">
        <v>44</v>
      </c>
      <c r="AN4" s="11" t="s">
        <v>45</v>
      </c>
      <c r="AO4" s="11" t="s">
        <v>46</v>
      </c>
      <c r="AP4" s="11" t="s">
        <v>44</v>
      </c>
      <c r="AQ4" s="11" t="s">
        <v>45</v>
      </c>
      <c r="AR4" s="11" t="s">
        <v>46</v>
      </c>
      <c r="AS4" s="11" t="s">
        <v>44</v>
      </c>
      <c r="AT4" s="11" t="s">
        <v>45</v>
      </c>
      <c r="AU4" s="11" t="s">
        <v>46</v>
      </c>
      <c r="AV4" s="11" t="s">
        <v>44</v>
      </c>
      <c r="AW4" s="11" t="s">
        <v>45</v>
      </c>
      <c r="AX4" s="11" t="s">
        <v>46</v>
      </c>
      <c r="AY4" s="11" t="s">
        <v>44</v>
      </c>
      <c r="AZ4" s="11" t="s">
        <v>45</v>
      </c>
      <c r="BA4" s="11" t="s">
        <v>46</v>
      </c>
      <c r="BB4" s="11" t="s">
        <v>44</v>
      </c>
      <c r="BC4" s="11" t="s">
        <v>45</v>
      </c>
      <c r="BD4" s="11" t="s">
        <v>46</v>
      </c>
      <c r="BE4" s="11" t="s">
        <v>44</v>
      </c>
      <c r="BF4" s="11" t="s">
        <v>45</v>
      </c>
      <c r="BG4" s="11" t="s">
        <v>46</v>
      </c>
      <c r="BH4" s="11" t="s">
        <v>44</v>
      </c>
      <c r="BI4" s="11" t="s">
        <v>45</v>
      </c>
      <c r="BJ4" s="11" t="s">
        <v>46</v>
      </c>
      <c r="BK4" s="11" t="s">
        <v>44</v>
      </c>
      <c r="BL4" s="11" t="s">
        <v>45</v>
      </c>
      <c r="BM4" s="11" t="s">
        <v>46</v>
      </c>
      <c r="BN4" s="11" t="s">
        <v>44</v>
      </c>
      <c r="BO4" s="11" t="s">
        <v>45</v>
      </c>
      <c r="BP4" s="11" t="s">
        <v>46</v>
      </c>
      <c r="BQ4" s="11" t="s">
        <v>44</v>
      </c>
      <c r="BR4" s="11" t="s">
        <v>45</v>
      </c>
      <c r="BS4" s="11" t="s">
        <v>46</v>
      </c>
      <c r="BT4" s="11" t="s">
        <v>44</v>
      </c>
      <c r="BU4" s="11" t="s">
        <v>45</v>
      </c>
      <c r="BV4" s="11" t="s">
        <v>46</v>
      </c>
      <c r="BW4" s="11" t="s">
        <v>47</v>
      </c>
      <c r="BX4" s="11" t="s">
        <v>48</v>
      </c>
      <c r="BY4" s="11" t="s">
        <v>44</v>
      </c>
      <c r="BZ4" s="11" t="s">
        <v>45</v>
      </c>
      <c r="CA4" s="11" t="s">
        <v>46</v>
      </c>
      <c r="CB4" s="11" t="s">
        <v>47</v>
      </c>
      <c r="CC4" s="11" t="s">
        <v>48</v>
      </c>
      <c r="CD4" s="11" t="s">
        <v>45</v>
      </c>
      <c r="CE4" s="11" t="s">
        <v>46</v>
      </c>
      <c r="CF4" s="11" t="s">
        <v>47</v>
      </c>
      <c r="CG4" s="11" t="s">
        <v>48</v>
      </c>
      <c r="CH4" s="11" t="s">
        <v>44</v>
      </c>
      <c r="CI4" s="11" t="s">
        <v>45</v>
      </c>
      <c r="CJ4" s="11" t="s">
        <v>46</v>
      </c>
      <c r="CK4" s="11" t="s">
        <v>47</v>
      </c>
      <c r="CL4" s="11" t="s">
        <v>48</v>
      </c>
      <c r="CM4" s="11" t="s">
        <v>45</v>
      </c>
      <c r="CN4" s="11" t="s">
        <v>46</v>
      </c>
      <c r="CO4" s="11" t="s">
        <v>47</v>
      </c>
      <c r="CP4" s="11" t="s">
        <v>48</v>
      </c>
      <c r="CQ4" s="11" t="s">
        <v>45</v>
      </c>
      <c r="CR4" s="11" t="s">
        <v>46</v>
      </c>
      <c r="CS4" s="11" t="s">
        <v>49</v>
      </c>
      <c r="CT4" s="11" t="s">
        <v>50</v>
      </c>
      <c r="CU4" s="11" t="s">
        <v>47</v>
      </c>
      <c r="CV4" s="11" t="s">
        <v>48</v>
      </c>
      <c r="CW4" s="12" t="s">
        <v>44</v>
      </c>
      <c r="CX4" s="11" t="s">
        <v>45</v>
      </c>
      <c r="CY4" s="11" t="s">
        <v>46</v>
      </c>
      <c r="CZ4" s="11" t="s">
        <v>49</v>
      </c>
      <c r="DA4" s="11" t="s">
        <v>50</v>
      </c>
      <c r="DB4" s="11" t="s">
        <v>47</v>
      </c>
      <c r="DC4" s="11" t="s">
        <v>48</v>
      </c>
      <c r="DD4" s="12" t="s">
        <v>44</v>
      </c>
      <c r="DE4" s="11" t="s">
        <v>45</v>
      </c>
      <c r="DF4" s="11" t="s">
        <v>46</v>
      </c>
      <c r="DG4" s="11" t="s">
        <v>49</v>
      </c>
      <c r="DH4" s="11" t="s">
        <v>50</v>
      </c>
      <c r="DI4" s="11" t="s">
        <v>47</v>
      </c>
      <c r="DJ4" s="11" t="s">
        <v>48</v>
      </c>
      <c r="DK4" s="12" t="s">
        <v>44</v>
      </c>
      <c r="DL4" s="11" t="s">
        <v>44</v>
      </c>
      <c r="DM4" s="11" t="s">
        <v>45</v>
      </c>
      <c r="DN4" s="11" t="s">
        <v>46</v>
      </c>
      <c r="DO4" s="11" t="s">
        <v>47</v>
      </c>
      <c r="DP4" s="11" t="s">
        <v>48</v>
      </c>
      <c r="DQ4" s="4" t="s">
        <v>44</v>
      </c>
      <c r="DR4" s="4" t="s">
        <v>45</v>
      </c>
      <c r="DS4" s="4" t="s">
        <v>46</v>
      </c>
      <c r="DT4" s="4" t="s">
        <v>47</v>
      </c>
      <c r="DU4" s="4" t="s">
        <v>48</v>
      </c>
      <c r="DZ4" s="19" t="s">
        <v>44</v>
      </c>
      <c r="EA4" s="5" t="s">
        <v>45</v>
      </c>
      <c r="EB4" s="5" t="s">
        <v>46</v>
      </c>
      <c r="EC4" s="5" t="s">
        <v>47</v>
      </c>
      <c r="ED4" s="20" t="s">
        <v>48</v>
      </c>
      <c r="EE4" s="19" t="s">
        <v>44</v>
      </c>
      <c r="EF4" s="5" t="s">
        <v>45</v>
      </c>
      <c r="EG4" s="20" t="s">
        <v>46</v>
      </c>
      <c r="EH4" s="5" t="s">
        <v>45</v>
      </c>
      <c r="EI4" s="20" t="s">
        <v>46</v>
      </c>
      <c r="EJ4" s="21" t="s">
        <v>44</v>
      </c>
      <c r="EK4" s="9" t="s">
        <v>45</v>
      </c>
      <c r="EL4" s="9" t="s">
        <v>46</v>
      </c>
      <c r="EM4" s="9" t="s">
        <v>47</v>
      </c>
      <c r="EN4" s="22" t="s">
        <v>48</v>
      </c>
      <c r="EO4" s="19" t="s">
        <v>44</v>
      </c>
      <c r="EP4" s="5" t="s">
        <v>45</v>
      </c>
      <c r="EQ4" s="5" t="s">
        <v>46</v>
      </c>
      <c r="ER4" s="5" t="s">
        <v>47</v>
      </c>
      <c r="ES4" s="5" t="s">
        <v>48</v>
      </c>
      <c r="ET4" s="5" t="s">
        <v>49</v>
      </c>
      <c r="EU4" s="20" t="s">
        <v>50</v>
      </c>
      <c r="EV4" s="5" t="s">
        <v>51</v>
      </c>
      <c r="EW4" s="5" t="s">
        <v>44</v>
      </c>
    </row>
    <row r="5">
      <c r="A5" s="23" t="s">
        <v>52</v>
      </c>
      <c r="B5" s="24" t="s">
        <v>53</v>
      </c>
      <c r="C5" s="25">
        <v>0.82</v>
      </c>
      <c r="D5" s="26" t="s">
        <v>54</v>
      </c>
      <c r="E5" s="26" t="s">
        <v>55</v>
      </c>
      <c r="F5" s="26" t="s">
        <v>56</v>
      </c>
      <c r="G5" s="26" t="s">
        <v>57</v>
      </c>
      <c r="H5" s="26">
        <v>0.332</v>
      </c>
      <c r="I5" s="26" t="s">
        <v>58</v>
      </c>
      <c r="J5" s="26" t="s">
        <v>59</v>
      </c>
      <c r="K5" s="26" t="s">
        <v>60</v>
      </c>
      <c r="L5" s="26" t="s">
        <v>61</v>
      </c>
      <c r="M5" s="26">
        <v>0.769</v>
      </c>
      <c r="N5" s="26" t="s">
        <v>62</v>
      </c>
      <c r="O5" s="26" t="s">
        <v>63</v>
      </c>
      <c r="P5" s="26" t="s">
        <v>64</v>
      </c>
      <c r="Q5" s="26" t="s">
        <v>65</v>
      </c>
      <c r="R5" s="26">
        <v>0.639</v>
      </c>
      <c r="S5" s="26" t="s">
        <v>66</v>
      </c>
      <c r="T5" s="26" t="s">
        <v>67</v>
      </c>
      <c r="U5" s="26" t="s">
        <v>68</v>
      </c>
      <c r="V5" s="26" t="s">
        <v>69</v>
      </c>
      <c r="W5" s="26">
        <v>0.842</v>
      </c>
      <c r="X5" s="26" t="s">
        <v>70</v>
      </c>
      <c r="Y5" s="26" t="s">
        <v>71</v>
      </c>
      <c r="Z5" s="26" t="s">
        <v>72</v>
      </c>
      <c r="AA5" s="26" t="s">
        <v>73</v>
      </c>
      <c r="AB5" s="26">
        <v>0.945</v>
      </c>
      <c r="AC5" s="26" t="s">
        <v>74</v>
      </c>
      <c r="AD5" s="26" t="s">
        <v>75</v>
      </c>
      <c r="AE5" s="26" t="s">
        <v>76</v>
      </c>
      <c r="AF5" s="27" t="s">
        <v>77</v>
      </c>
      <c r="AG5" s="26">
        <v>0.428</v>
      </c>
      <c r="AH5" s="26" t="s">
        <v>78</v>
      </c>
      <c r="AI5" s="26" t="s">
        <v>79</v>
      </c>
      <c r="AJ5" s="26">
        <v>0.094</v>
      </c>
      <c r="AK5" s="26" t="s">
        <v>80</v>
      </c>
      <c r="AL5" s="26" t="s">
        <v>81</v>
      </c>
      <c r="AM5" s="26">
        <v>0.577</v>
      </c>
      <c r="AN5" s="26" t="s">
        <v>82</v>
      </c>
      <c r="AO5" s="26" t="s">
        <v>83</v>
      </c>
      <c r="AP5" s="26">
        <v>0.216</v>
      </c>
      <c r="AQ5" s="26" t="s">
        <v>84</v>
      </c>
      <c r="AR5" s="26" t="s">
        <v>85</v>
      </c>
      <c r="AS5" s="26">
        <v>0.381</v>
      </c>
      <c r="AT5" s="26" t="s">
        <v>86</v>
      </c>
      <c r="AU5" s="26" t="s">
        <v>87</v>
      </c>
      <c r="AV5" s="28">
        <v>0.108</v>
      </c>
      <c r="AW5" s="26" t="s">
        <v>88</v>
      </c>
      <c r="AX5" s="26" t="s">
        <v>89</v>
      </c>
      <c r="AY5" s="29">
        <v>0.046</v>
      </c>
      <c r="AZ5" s="26" t="s">
        <v>90</v>
      </c>
      <c r="BA5" s="26" t="s">
        <v>91</v>
      </c>
      <c r="BB5" s="29">
        <v>0.062</v>
      </c>
      <c r="BC5" s="26" t="s">
        <v>92</v>
      </c>
      <c r="BD5" s="26" t="s">
        <v>93</v>
      </c>
      <c r="BE5" s="29">
        <v>0.213</v>
      </c>
      <c r="BF5" s="26" t="s">
        <v>94</v>
      </c>
      <c r="BG5" s="26" t="s">
        <v>95</v>
      </c>
      <c r="BH5" s="29">
        <v>0.107</v>
      </c>
      <c r="BI5" s="26" t="s">
        <v>96</v>
      </c>
      <c r="BJ5" s="26" t="s">
        <v>97</v>
      </c>
      <c r="BK5" s="29">
        <v>0.094</v>
      </c>
      <c r="BL5" s="30">
        <v>0.704</v>
      </c>
      <c r="BM5" s="30">
        <v>0.793</v>
      </c>
      <c r="BN5" s="29">
        <v>0.079</v>
      </c>
      <c r="BO5" s="30">
        <v>0.725</v>
      </c>
      <c r="BP5" s="30">
        <v>0.82</v>
      </c>
      <c r="BQ5" s="26"/>
      <c r="BR5" s="26"/>
      <c r="BS5" s="27"/>
      <c r="BT5" s="26" t="s">
        <v>98</v>
      </c>
      <c r="BU5" s="26" t="s">
        <v>77</v>
      </c>
      <c r="BV5" s="26" t="s">
        <v>99</v>
      </c>
      <c r="BW5" s="26" t="s">
        <v>100</v>
      </c>
      <c r="BX5" s="26" t="s">
        <v>101</v>
      </c>
      <c r="BY5" s="26" t="s">
        <v>102</v>
      </c>
      <c r="BZ5" s="26" t="s">
        <v>103</v>
      </c>
      <c r="CA5" s="26" t="s">
        <v>104</v>
      </c>
      <c r="CB5" s="26" t="s">
        <v>105</v>
      </c>
      <c r="CC5" s="26" t="s">
        <v>106</v>
      </c>
      <c r="CD5" s="26" t="s">
        <v>107</v>
      </c>
      <c r="CE5" s="26" t="s">
        <v>108</v>
      </c>
      <c r="CF5" s="26" t="s">
        <v>109</v>
      </c>
      <c r="CG5" s="26" t="s">
        <v>110</v>
      </c>
      <c r="CH5" s="29">
        <v>0.9486196319</v>
      </c>
      <c r="CI5" s="29">
        <v>0.898063264</v>
      </c>
      <c r="CJ5" s="29">
        <v>0.9207566462</v>
      </c>
      <c r="CK5" s="29">
        <v>0.7423079753</v>
      </c>
      <c r="CL5" s="29">
        <v>0.6220189648</v>
      </c>
      <c r="CM5" s="31">
        <v>0.657</v>
      </c>
      <c r="CN5" s="31">
        <v>0.69</v>
      </c>
      <c r="CO5" s="31">
        <v>0.359</v>
      </c>
      <c r="CP5" s="31">
        <v>0.124</v>
      </c>
      <c r="CQ5" s="28">
        <v>0.835</v>
      </c>
      <c r="CR5" s="29">
        <v>0.955</v>
      </c>
      <c r="CS5" s="29">
        <v>0.47</v>
      </c>
      <c r="CT5" s="29">
        <v>0.129</v>
      </c>
      <c r="CU5" s="29">
        <v>0.725</v>
      </c>
      <c r="CV5" s="29">
        <v>0.573</v>
      </c>
      <c r="CW5" s="29">
        <v>0.185</v>
      </c>
      <c r="CX5" s="29">
        <v>0.885</v>
      </c>
      <c r="CY5" s="29">
        <v>0.931</v>
      </c>
      <c r="CZ5" s="29">
        <v>0.663</v>
      </c>
      <c r="DA5" s="29">
        <v>0.279</v>
      </c>
      <c r="DB5" s="29">
        <v>0.745</v>
      </c>
      <c r="DC5" s="29">
        <v>0.587</v>
      </c>
      <c r="DD5" s="29">
        <v>0.29</v>
      </c>
      <c r="DE5" s="29">
        <v>0.821</v>
      </c>
      <c r="DF5" s="29">
        <v>0.869</v>
      </c>
      <c r="DG5" s="29">
        <v>0.5</v>
      </c>
      <c r="DH5" s="29">
        <v>0.05</v>
      </c>
      <c r="DI5" s="29">
        <v>0.645</v>
      </c>
      <c r="DJ5" s="29">
        <v>0.545</v>
      </c>
      <c r="DK5" s="29">
        <v>0.061</v>
      </c>
      <c r="DL5" s="29">
        <v>0.963</v>
      </c>
      <c r="DM5" s="29" t="s">
        <v>54</v>
      </c>
      <c r="DN5" s="29" t="s">
        <v>111</v>
      </c>
      <c r="DO5" s="29" t="s">
        <v>112</v>
      </c>
      <c r="DP5" s="32" t="s">
        <v>113</v>
      </c>
      <c r="DQ5" s="29">
        <v>0.201</v>
      </c>
      <c r="DR5" s="29">
        <v>0.769</v>
      </c>
      <c r="DS5" s="29">
        <v>0.782</v>
      </c>
      <c r="DT5" s="29">
        <v>0.424</v>
      </c>
      <c r="DU5" s="29">
        <v>0.229</v>
      </c>
      <c r="DZ5" s="33">
        <f t="shared" ref="DZ5:ED5" si="1">IFERROR(AVERAGE(IFERROR(VALUE(C5),""),IFERROR(VALUE(H5),""),IFERROR(VALUE(M5),""),IFERROR(VALUE(R5),""),IFERROR(VALUE(W5),""),IFERROR(VALUE(AB5),"")),"")</f>
        <v>0.7245</v>
      </c>
      <c r="EA5" s="34">
        <f t="shared" si="1"/>
        <v>0.7386666667</v>
      </c>
      <c r="EB5" s="35">
        <f t="shared" si="1"/>
        <v>0.612</v>
      </c>
      <c r="EC5" s="36">
        <f t="shared" si="1"/>
        <v>0.5038333333</v>
      </c>
      <c r="ED5" s="37">
        <f t="shared" si="1"/>
        <v>0.2546666667</v>
      </c>
      <c r="EE5" s="33">
        <f t="shared" ref="EE5:EG5" si="2">IFERROR(AVERAGE(IFERROR(VALUE(AG5),""),IFERROR(VALUE(AJ5),""),IFERROR(VALUE(AM5),""),IFERROR(VALUE(AP5),""),IFERROR(VALUE(AS5),"")),"")</f>
        <v>0.3392</v>
      </c>
      <c r="EF5" s="38">
        <f t="shared" si="2"/>
        <v>0.692</v>
      </c>
      <c r="EG5" s="39">
        <f t="shared" si="2"/>
        <v>0.6196</v>
      </c>
      <c r="EH5" s="38">
        <v>0.675</v>
      </c>
      <c r="EI5" s="40">
        <v>0.791</v>
      </c>
      <c r="EJ5" s="19" t="str">
        <f t="shared" ref="EJ5:EJ10" si="8">IFERROR(AVERAGE(IFERROR(VALUE(BT5),""),IFERROR(VALUE(BY5),""),IFERROR(VALUE(CH5),"")),"")</f>
        <v/>
      </c>
      <c r="EK5" s="41">
        <f t="shared" ref="EK5:EK8" si="9">IFERROR(AVERAGE(IFERROR(VALUE(BZ5),""),IFERROR(VALUE(CD5),""),IFERROR(VALUE(CI5),""),IFERROR(VALUE(CM5),"")),"")</f>
        <v>0.755265816</v>
      </c>
      <c r="EL5" s="42">
        <f t="shared" ref="EL5:EL10" si="10">IFERROR(AVERAGE(IFERROR(VALUE(CA5),""),IFERROR(VALUE(CE5),""),IFERROR(VALUE(CJ5),""), IFERROR(VALUE(CN5),"")),"")</f>
        <v>0.7271891616</v>
      </c>
      <c r="EM5" s="35">
        <f t="shared" ref="EM5:EM8" si="11">IFERROR(AVERAGE(IFERROR(VALUE(CB5),""),IFERROR(VALUE(CF5),""),IFERROR(VALUE(CK5),""),IFERROR(VALUE(CO5),"")),"")</f>
        <v>0.4853269938</v>
      </c>
      <c r="EN5" s="43">
        <f t="shared" ref="EN5:EN10" si="12">IFERROR(AVERAGE(IFERROR(VALUE(CC5),""),IFERROR(VALUE(CG5),""),IFERROR(VALUE(CL5),""), IFERROR(VALUE(CP5),"")),"")</f>
        <v>0.2785047412</v>
      </c>
      <c r="EO5" s="44">
        <v>0.963</v>
      </c>
      <c r="EP5" s="45">
        <f t="shared" ref="EP5:EQ5" si="3">IFERROR(AVERAGE(IFERROR(VALUE(CQ5),""),IFERROR(VALUE(CX5),""),IFERROR(VALUE(DE5),""),IFERROR(VALUE(DM5),"")),"")</f>
        <v>0.829</v>
      </c>
      <c r="EQ5" s="46">
        <f t="shared" si="3"/>
        <v>0.916</v>
      </c>
      <c r="ER5" s="47">
        <f t="shared" ref="ER5:ES5" si="4">IFERROR(AVERAGE(IFERROR(VALUE(CU5),""),IFERROR(VALUE(DB5),""),IFERROR(VALUE(DI5),""),IFERROR(VALUE(DO5),"")),"")</f>
        <v>0.6395</v>
      </c>
      <c r="ES5" s="48">
        <f t="shared" si="4"/>
        <v>0.51175</v>
      </c>
      <c r="ET5" s="49">
        <f t="shared" ref="ET5:EU5" si="5">IFERROR(AVERAGE(IFERROR(VALUE(CS5),""),IFERROR(VALUE(CZ5),""),IFERROR(VALUE(DG5),"")),"")</f>
        <v>0.5443333333</v>
      </c>
      <c r="EU5" s="50">
        <f t="shared" si="5"/>
        <v>0.1526666667</v>
      </c>
      <c r="EV5" s="51">
        <v>0.601</v>
      </c>
      <c r="EW5" s="51">
        <v>0.101</v>
      </c>
    </row>
    <row r="6">
      <c r="A6" s="52"/>
      <c r="B6" s="53" t="s">
        <v>114</v>
      </c>
      <c r="C6" s="25">
        <v>0.903</v>
      </c>
      <c r="D6" s="26" t="s">
        <v>115</v>
      </c>
      <c r="E6" s="26" t="s">
        <v>116</v>
      </c>
      <c r="F6" s="26" t="s">
        <v>117</v>
      </c>
      <c r="G6" s="26" t="s">
        <v>118</v>
      </c>
      <c r="H6" s="26">
        <v>0.359</v>
      </c>
      <c r="I6" s="26" t="s">
        <v>119</v>
      </c>
      <c r="J6" s="26" t="s">
        <v>120</v>
      </c>
      <c r="K6" s="26" t="s">
        <v>121</v>
      </c>
      <c r="L6" s="26" t="s">
        <v>122</v>
      </c>
      <c r="M6" s="26">
        <v>0.81</v>
      </c>
      <c r="N6" s="26" t="s">
        <v>62</v>
      </c>
      <c r="O6" s="26" t="s">
        <v>123</v>
      </c>
      <c r="P6" s="26" t="s">
        <v>121</v>
      </c>
      <c r="Q6" s="26" t="s">
        <v>122</v>
      </c>
      <c r="R6" s="26">
        <v>0.705</v>
      </c>
      <c r="S6" s="26" t="s">
        <v>124</v>
      </c>
      <c r="T6" s="26" t="s">
        <v>125</v>
      </c>
      <c r="U6" s="26" t="s">
        <v>126</v>
      </c>
      <c r="V6" s="26" t="s">
        <v>127</v>
      </c>
      <c r="W6" s="26">
        <v>0.935</v>
      </c>
      <c r="X6" s="26" t="s">
        <v>128</v>
      </c>
      <c r="Y6" s="26" t="s">
        <v>85</v>
      </c>
      <c r="Z6" s="26" t="s">
        <v>129</v>
      </c>
      <c r="AA6" s="26" t="s">
        <v>126</v>
      </c>
      <c r="AB6" s="26">
        <v>0.93</v>
      </c>
      <c r="AC6" s="26" t="s">
        <v>130</v>
      </c>
      <c r="AD6" s="26" t="s">
        <v>131</v>
      </c>
      <c r="AE6" s="26" t="s">
        <v>132</v>
      </c>
      <c r="AF6" s="27" t="s">
        <v>133</v>
      </c>
      <c r="AG6" s="26">
        <v>0.525</v>
      </c>
      <c r="AH6" s="26" t="s">
        <v>63</v>
      </c>
      <c r="AI6" s="26" t="s">
        <v>134</v>
      </c>
      <c r="AJ6" s="26">
        <v>0.11</v>
      </c>
      <c r="AK6" s="26" t="s">
        <v>135</v>
      </c>
      <c r="AL6" s="26" t="s">
        <v>136</v>
      </c>
      <c r="AM6" s="26">
        <v>0.544</v>
      </c>
      <c r="AN6" s="26" t="s">
        <v>137</v>
      </c>
      <c r="AO6" s="26" t="s">
        <v>138</v>
      </c>
      <c r="AP6" s="26">
        <v>0.351</v>
      </c>
      <c r="AQ6" s="26" t="s">
        <v>139</v>
      </c>
      <c r="AR6" s="26" t="s">
        <v>140</v>
      </c>
      <c r="AS6" s="26">
        <v>0.373</v>
      </c>
      <c r="AT6" s="26" t="s">
        <v>141</v>
      </c>
      <c r="AU6" s="26" t="s">
        <v>142</v>
      </c>
      <c r="AV6" s="28">
        <v>0.157</v>
      </c>
      <c r="AW6" s="26" t="s">
        <v>143</v>
      </c>
      <c r="AX6" s="26" t="s">
        <v>144</v>
      </c>
      <c r="AY6" s="29">
        <v>0.07</v>
      </c>
      <c r="AZ6" s="26" t="s">
        <v>94</v>
      </c>
      <c r="BA6" s="26" t="s">
        <v>145</v>
      </c>
      <c r="BB6" s="29">
        <v>0.095</v>
      </c>
      <c r="BC6" s="26" t="s">
        <v>146</v>
      </c>
      <c r="BD6" s="26" t="s">
        <v>147</v>
      </c>
      <c r="BE6" s="29">
        <v>0.248</v>
      </c>
      <c r="BF6" s="26" t="s">
        <v>148</v>
      </c>
      <c r="BG6" s="26" t="s">
        <v>128</v>
      </c>
      <c r="BH6" s="29">
        <v>0.105</v>
      </c>
      <c r="BI6" s="26" t="s">
        <v>149</v>
      </c>
      <c r="BJ6" s="26" t="s">
        <v>150</v>
      </c>
      <c r="BK6" s="29">
        <v>0.109</v>
      </c>
      <c r="BL6" s="29">
        <v>0.751</v>
      </c>
      <c r="BM6" s="29">
        <v>0.826</v>
      </c>
      <c r="BN6" s="29">
        <v>0.116</v>
      </c>
      <c r="BO6" s="29">
        <v>0.753</v>
      </c>
      <c r="BP6" s="29">
        <v>0.851</v>
      </c>
      <c r="BQ6" s="26"/>
      <c r="BR6" s="26"/>
      <c r="BS6" s="27"/>
      <c r="BT6" s="26">
        <v>0.907</v>
      </c>
      <c r="BU6" s="26" t="s">
        <v>151</v>
      </c>
      <c r="BV6" s="26" t="s">
        <v>140</v>
      </c>
      <c r="BW6" s="26" t="s">
        <v>152</v>
      </c>
      <c r="BX6" s="26" t="s">
        <v>153</v>
      </c>
      <c r="BY6" s="26">
        <v>0.872</v>
      </c>
      <c r="BZ6" s="26" t="s">
        <v>154</v>
      </c>
      <c r="CA6" s="26" t="s">
        <v>155</v>
      </c>
      <c r="CB6" s="26" t="s">
        <v>156</v>
      </c>
      <c r="CC6" s="26" t="s">
        <v>157</v>
      </c>
      <c r="CD6" s="26" t="s">
        <v>158</v>
      </c>
      <c r="CE6" s="26" t="s">
        <v>159</v>
      </c>
      <c r="CF6" s="26" t="s">
        <v>160</v>
      </c>
      <c r="CG6" s="26" t="s">
        <v>161</v>
      </c>
      <c r="CH6" s="29">
        <v>0.9534764826</v>
      </c>
      <c r="CI6" s="29">
        <v>0.8484262057</v>
      </c>
      <c r="CJ6" s="29">
        <v>0.9271472393</v>
      </c>
      <c r="CK6" s="29">
        <v>0.6531327392</v>
      </c>
      <c r="CL6" s="29">
        <v>0.3624503196</v>
      </c>
      <c r="CM6" s="31">
        <v>0.697</v>
      </c>
      <c r="CN6" s="31">
        <v>0.753</v>
      </c>
      <c r="CO6" s="31">
        <v>0.409</v>
      </c>
      <c r="CP6" s="31">
        <v>0.153</v>
      </c>
      <c r="CQ6" s="28">
        <v>0.924</v>
      </c>
      <c r="CR6" s="29">
        <v>0.985</v>
      </c>
      <c r="CS6" s="29">
        <v>0.536</v>
      </c>
      <c r="CT6" s="29">
        <v>0.086</v>
      </c>
      <c r="CU6" s="29">
        <v>0.891</v>
      </c>
      <c r="CV6" s="29">
        <v>0.818</v>
      </c>
      <c r="CW6" s="29">
        <v>0.18</v>
      </c>
      <c r="CX6" s="29">
        <v>0.929</v>
      </c>
      <c r="CY6" s="29">
        <v>0.98</v>
      </c>
      <c r="CZ6" s="29">
        <v>0.7</v>
      </c>
      <c r="DA6" s="29">
        <v>0.305</v>
      </c>
      <c r="DB6" s="29">
        <v>0.875</v>
      </c>
      <c r="DC6" s="29">
        <v>0.749</v>
      </c>
      <c r="DD6" s="29">
        <v>0.263</v>
      </c>
      <c r="DE6" s="29">
        <v>0.845</v>
      </c>
      <c r="DF6" s="29">
        <v>0.933</v>
      </c>
      <c r="DG6" s="29">
        <v>0.486</v>
      </c>
      <c r="DH6" s="29">
        <v>0.034</v>
      </c>
      <c r="DI6" s="29">
        <v>0.697</v>
      </c>
      <c r="DJ6" s="29">
        <v>0.559</v>
      </c>
      <c r="DK6" s="29">
        <v>0.093</v>
      </c>
      <c r="DL6" s="29">
        <v>0.985</v>
      </c>
      <c r="DM6" s="29" t="s">
        <v>162</v>
      </c>
      <c r="DN6" s="29" t="s">
        <v>163</v>
      </c>
      <c r="DO6" s="29" t="s">
        <v>164</v>
      </c>
      <c r="DP6" s="32" t="s">
        <v>165</v>
      </c>
      <c r="DQ6" s="29">
        <v>0.228</v>
      </c>
      <c r="DR6" s="29">
        <v>0.808</v>
      </c>
      <c r="DS6" s="29">
        <v>0.871</v>
      </c>
      <c r="DT6" s="29">
        <v>0.527</v>
      </c>
      <c r="DU6" s="29">
        <v>0.355</v>
      </c>
      <c r="DZ6" s="54">
        <f t="shared" ref="DZ6:ED6" si="6">IFERROR(AVERAGE(IFERROR(VALUE(C6),""),IFERROR(VALUE(H6),""),IFERROR(VALUE(M6),""),IFERROR(VALUE(R6),""),IFERROR(VALUE(W6),""),IFERROR(VALUE(AB6),"")),"")</f>
        <v>0.7736666667</v>
      </c>
      <c r="EA6" s="38">
        <f t="shared" si="6"/>
        <v>0.7341666667</v>
      </c>
      <c r="EB6" s="55">
        <f t="shared" si="6"/>
        <v>0.6465</v>
      </c>
      <c r="EC6" s="56">
        <f t="shared" si="6"/>
        <v>0.5421666667</v>
      </c>
      <c r="ED6" s="57">
        <f t="shared" si="6"/>
        <v>0.2046666667</v>
      </c>
      <c r="EE6" s="58">
        <f t="shared" ref="EE6:EG6" si="7">IFERROR(AVERAGE(IFERROR(VALUE(AG6),""),IFERROR(VALUE(AJ6),""),IFERROR(VALUE(AM6),""),IFERROR(VALUE(AP6),""),IFERROR(VALUE(AS6),"")),"")</f>
        <v>0.3806</v>
      </c>
      <c r="EF6" s="59">
        <f t="shared" si="7"/>
        <v>0.7216</v>
      </c>
      <c r="EG6" s="60">
        <f t="shared" si="7"/>
        <v>0.6542</v>
      </c>
      <c r="EH6" s="55">
        <v>0.686</v>
      </c>
      <c r="EI6" s="61">
        <v>0.813</v>
      </c>
      <c r="EJ6" s="62">
        <f t="shared" si="8"/>
        <v>0.9108254942</v>
      </c>
      <c r="EK6" s="38">
        <f t="shared" si="9"/>
        <v>0.7751065514</v>
      </c>
      <c r="EL6" s="63">
        <f t="shared" si="10"/>
        <v>0.7767868098</v>
      </c>
      <c r="EM6" s="34">
        <f t="shared" si="11"/>
        <v>0.4977831848</v>
      </c>
      <c r="EN6" s="64">
        <f t="shared" si="12"/>
        <v>0.2393625799</v>
      </c>
      <c r="EO6" s="65">
        <v>0.985</v>
      </c>
      <c r="EP6" s="66">
        <f t="shared" ref="EP6:EQ6" si="13">IFERROR(AVERAGE(IFERROR(VALUE(CQ6),""),IFERROR(VALUE(CX6),""),IFERROR(VALUE(DE6),""),IFERROR(VALUE(DM6),"")),"")</f>
        <v>0.88125</v>
      </c>
      <c r="EQ6" s="67">
        <f t="shared" si="13"/>
        <v>0.95725</v>
      </c>
      <c r="ER6" s="68">
        <f t="shared" ref="ER6:ES6" si="14">IFERROR(AVERAGE(IFERROR(VALUE(CU6),""),IFERROR(VALUE(DB6),""),IFERROR(VALUE(DI6),""),IFERROR(VALUE(DO6),"")),"")</f>
        <v>0.77575</v>
      </c>
      <c r="ES6" s="69">
        <f t="shared" si="14"/>
        <v>0.679</v>
      </c>
      <c r="ET6" s="70">
        <f t="shared" ref="ET6:EU6" si="15">IFERROR(AVERAGE(IFERROR(VALUE(CS6),""),IFERROR(VALUE(CZ6),""),IFERROR(VALUE(DG6),"")),"")</f>
        <v>0.574</v>
      </c>
      <c r="EU6" s="71">
        <f t="shared" si="15"/>
        <v>0.1416666667</v>
      </c>
      <c r="EV6" s="51">
        <v>0.637</v>
      </c>
      <c r="EW6" s="51">
        <v>0.129</v>
      </c>
    </row>
    <row r="7">
      <c r="A7" s="52"/>
      <c r="B7" s="53" t="s">
        <v>166</v>
      </c>
      <c r="C7" s="25">
        <v>0.85</v>
      </c>
      <c r="D7" s="26" t="s">
        <v>167</v>
      </c>
      <c r="E7" s="26" t="s">
        <v>168</v>
      </c>
      <c r="F7" s="26" t="s">
        <v>169</v>
      </c>
      <c r="G7" s="26" t="s">
        <v>170</v>
      </c>
      <c r="H7" s="26">
        <v>0.247</v>
      </c>
      <c r="I7" s="26" t="s">
        <v>171</v>
      </c>
      <c r="J7" s="26" t="s">
        <v>172</v>
      </c>
      <c r="K7" s="26" t="s">
        <v>173</v>
      </c>
      <c r="L7" s="26" t="s">
        <v>174</v>
      </c>
      <c r="M7" s="26">
        <v>0.778</v>
      </c>
      <c r="N7" s="26" t="s">
        <v>175</v>
      </c>
      <c r="O7" s="26" t="s">
        <v>176</v>
      </c>
      <c r="P7" s="26" t="s">
        <v>177</v>
      </c>
      <c r="Q7" s="26" t="s">
        <v>178</v>
      </c>
      <c r="R7" s="26">
        <v>0.635</v>
      </c>
      <c r="S7" s="26" t="s">
        <v>179</v>
      </c>
      <c r="T7" s="26" t="s">
        <v>180</v>
      </c>
      <c r="U7" s="26" t="s">
        <v>73</v>
      </c>
      <c r="V7" s="26" t="s">
        <v>181</v>
      </c>
      <c r="W7" s="26">
        <v>0.705</v>
      </c>
      <c r="X7" s="26" t="s">
        <v>169</v>
      </c>
      <c r="Y7" s="26" t="s">
        <v>182</v>
      </c>
      <c r="Z7" s="26" t="s">
        <v>183</v>
      </c>
      <c r="AA7" s="26" t="s">
        <v>184</v>
      </c>
      <c r="AB7" s="26">
        <v>0.858</v>
      </c>
      <c r="AC7" s="26" t="s">
        <v>185</v>
      </c>
      <c r="AD7" s="26" t="s">
        <v>186</v>
      </c>
      <c r="AE7" s="26" t="s">
        <v>187</v>
      </c>
      <c r="AF7" s="27" t="s">
        <v>188</v>
      </c>
      <c r="AG7" s="26">
        <v>0.403</v>
      </c>
      <c r="AH7" s="26" t="s">
        <v>189</v>
      </c>
      <c r="AI7" s="26" t="s">
        <v>190</v>
      </c>
      <c r="AJ7" s="26">
        <v>0.077</v>
      </c>
      <c r="AK7" s="26" t="s">
        <v>191</v>
      </c>
      <c r="AL7" s="26" t="s">
        <v>192</v>
      </c>
      <c r="AM7" s="26">
        <v>0.475</v>
      </c>
      <c r="AN7" s="26" t="s">
        <v>121</v>
      </c>
      <c r="AO7" s="26" t="s">
        <v>193</v>
      </c>
      <c r="AP7" s="26">
        <v>0.041</v>
      </c>
      <c r="AQ7" s="26" t="s">
        <v>194</v>
      </c>
      <c r="AR7" s="26" t="s">
        <v>96</v>
      </c>
      <c r="AS7" s="26">
        <v>0.265</v>
      </c>
      <c r="AT7" s="26" t="s">
        <v>190</v>
      </c>
      <c r="AU7" s="26" t="s">
        <v>195</v>
      </c>
      <c r="AV7" s="28">
        <v>0.137</v>
      </c>
      <c r="AW7" s="26" t="s">
        <v>196</v>
      </c>
      <c r="AX7" s="26" t="s">
        <v>197</v>
      </c>
      <c r="AY7" s="29">
        <v>0.053</v>
      </c>
      <c r="AZ7" s="26" t="s">
        <v>198</v>
      </c>
      <c r="BA7" s="26" t="s">
        <v>199</v>
      </c>
      <c r="BB7" s="29">
        <v>0.064</v>
      </c>
      <c r="BC7" s="26" t="s">
        <v>200</v>
      </c>
      <c r="BD7" s="26" t="s">
        <v>201</v>
      </c>
      <c r="BE7" s="29">
        <v>0.188</v>
      </c>
      <c r="BF7" s="26" t="s">
        <v>137</v>
      </c>
      <c r="BG7" s="26" t="s">
        <v>121</v>
      </c>
      <c r="BH7" s="29">
        <v>0.094</v>
      </c>
      <c r="BI7" s="26" t="s">
        <v>202</v>
      </c>
      <c r="BJ7" s="26" t="s">
        <v>203</v>
      </c>
      <c r="BK7" s="29">
        <v>0.098</v>
      </c>
      <c r="BL7" s="29">
        <v>0.706</v>
      </c>
      <c r="BM7" s="29">
        <v>0.788</v>
      </c>
      <c r="BN7" s="29">
        <v>0.092</v>
      </c>
      <c r="BO7" s="29">
        <v>0.679</v>
      </c>
      <c r="BP7" s="29">
        <v>0.795</v>
      </c>
      <c r="BQ7" s="26"/>
      <c r="BR7" s="26"/>
      <c r="BS7" s="27"/>
      <c r="BT7" s="26">
        <v>0.545</v>
      </c>
      <c r="BU7" s="26" t="s">
        <v>204</v>
      </c>
      <c r="BV7" s="26" t="s">
        <v>205</v>
      </c>
      <c r="BW7" s="26" t="s">
        <v>206</v>
      </c>
      <c r="BX7" s="26" t="s">
        <v>207</v>
      </c>
      <c r="BY7" s="26">
        <v>0.784</v>
      </c>
      <c r="BZ7" s="26" t="s">
        <v>208</v>
      </c>
      <c r="CA7" s="26" t="s">
        <v>131</v>
      </c>
      <c r="CB7" s="26" t="s">
        <v>209</v>
      </c>
      <c r="CC7" s="26" t="s">
        <v>210</v>
      </c>
      <c r="CD7" s="26" t="s">
        <v>204</v>
      </c>
      <c r="CE7" s="26" t="s">
        <v>211</v>
      </c>
      <c r="CF7" s="26" t="s">
        <v>212</v>
      </c>
      <c r="CG7" s="26" t="s">
        <v>213</v>
      </c>
      <c r="CH7" s="29">
        <v>0.976993865</v>
      </c>
      <c r="CI7" s="29">
        <v>0.9736681475</v>
      </c>
      <c r="CJ7" s="29">
        <v>0.9915644172</v>
      </c>
      <c r="CK7" s="29">
        <v>0.870514462</v>
      </c>
      <c r="CL7" s="29">
        <v>0.6606112545</v>
      </c>
      <c r="CM7" s="31">
        <v>0.626</v>
      </c>
      <c r="CN7" s="31">
        <v>0.63</v>
      </c>
      <c r="CO7" s="72">
        <v>0.265</v>
      </c>
      <c r="CP7" s="31">
        <v>0.072</v>
      </c>
      <c r="CQ7" s="28">
        <v>0.611</v>
      </c>
      <c r="CR7" s="29">
        <v>0.75</v>
      </c>
      <c r="CS7" s="29">
        <v>0.544</v>
      </c>
      <c r="CT7" s="29">
        <v>0.121</v>
      </c>
      <c r="CU7" s="29">
        <v>0.211</v>
      </c>
      <c r="CV7" s="29">
        <v>0.05</v>
      </c>
      <c r="CW7" s="29">
        <v>0.205</v>
      </c>
      <c r="CX7" s="29">
        <v>0.891</v>
      </c>
      <c r="CY7" s="29">
        <v>0.934</v>
      </c>
      <c r="CZ7" s="29">
        <v>0.676</v>
      </c>
      <c r="DA7" s="29">
        <v>0.219</v>
      </c>
      <c r="DB7" s="29">
        <v>0.748</v>
      </c>
      <c r="DC7" s="29">
        <v>0.55</v>
      </c>
      <c r="DD7" s="29">
        <v>0.317</v>
      </c>
      <c r="DE7" s="29">
        <v>0.676</v>
      </c>
      <c r="DF7" s="29">
        <v>0.827</v>
      </c>
      <c r="DG7" s="29">
        <v>0.469</v>
      </c>
      <c r="DH7" s="29">
        <v>0.062</v>
      </c>
      <c r="DI7" s="29">
        <v>0.282</v>
      </c>
      <c r="DJ7" s="29">
        <v>0.149</v>
      </c>
      <c r="DK7" s="29">
        <v>0.058</v>
      </c>
      <c r="DL7" s="29">
        <v>0.872</v>
      </c>
      <c r="DM7" s="29" t="s">
        <v>214</v>
      </c>
      <c r="DN7" s="29" t="s">
        <v>215</v>
      </c>
      <c r="DO7" s="29" t="s">
        <v>216</v>
      </c>
      <c r="DP7" s="32" t="s">
        <v>217</v>
      </c>
      <c r="DQ7" s="29">
        <v>0.221</v>
      </c>
      <c r="DR7" s="29">
        <v>0.627</v>
      </c>
      <c r="DS7" s="29">
        <v>0.716</v>
      </c>
      <c r="DT7" s="29">
        <v>0.168</v>
      </c>
      <c r="DU7" s="29">
        <v>0.041</v>
      </c>
      <c r="DZ7" s="73">
        <f t="shared" ref="DZ7:ED7" si="16">IFERROR(AVERAGE(IFERROR(VALUE(C7),""),IFERROR(VALUE(H7),""),IFERROR(VALUE(M7),""),IFERROR(VALUE(R7),""),IFERROR(VALUE(W7),""),IFERROR(VALUE(AB7),"")),"")</f>
        <v>0.6788333333</v>
      </c>
      <c r="EA7" s="74">
        <f t="shared" si="16"/>
        <v>0.6746666667</v>
      </c>
      <c r="EB7" s="75">
        <f t="shared" si="16"/>
        <v>0.5308333333</v>
      </c>
      <c r="EC7" s="76">
        <f t="shared" si="16"/>
        <v>0.4238333333</v>
      </c>
      <c r="ED7" s="77">
        <f t="shared" si="16"/>
        <v>0.1361666667</v>
      </c>
      <c r="EE7" s="78">
        <f t="shared" ref="EE7:EG7" si="17">IFERROR(AVERAGE(IFERROR(VALUE(AG7),""),IFERROR(VALUE(AJ7),""),IFERROR(VALUE(AM7),""),IFERROR(VALUE(AP7),""),IFERROR(VALUE(AS7),"")),"")</f>
        <v>0.2522</v>
      </c>
      <c r="EF7" s="38">
        <f t="shared" si="17"/>
        <v>0.692</v>
      </c>
      <c r="EG7" s="79">
        <f t="shared" si="17"/>
        <v>0.6118</v>
      </c>
      <c r="EH7" s="80">
        <v>0.65</v>
      </c>
      <c r="EI7" s="81">
        <v>0.755</v>
      </c>
      <c r="EJ7" s="82">
        <f t="shared" si="8"/>
        <v>0.7686646217</v>
      </c>
      <c r="EK7" s="83">
        <f t="shared" si="9"/>
        <v>0.7679170369</v>
      </c>
      <c r="EL7" s="34">
        <f t="shared" si="10"/>
        <v>0.7643911043</v>
      </c>
      <c r="EM7" s="84">
        <f t="shared" si="11"/>
        <v>0.4673786155</v>
      </c>
      <c r="EN7" s="85">
        <f t="shared" si="12"/>
        <v>0.2441528136</v>
      </c>
      <c r="EO7" s="86">
        <v>0.872</v>
      </c>
      <c r="EP7" s="80">
        <f t="shared" ref="EP7:EQ7" si="18">IFERROR(AVERAGE(IFERROR(VALUE(CQ7),""),IFERROR(VALUE(CX7),""),IFERROR(VALUE(DE7),""),IFERROR(VALUE(DM7),"")),"")</f>
        <v>0.7455</v>
      </c>
      <c r="EQ7" s="42">
        <f t="shared" si="18"/>
        <v>0.865</v>
      </c>
      <c r="ER7" s="87">
        <f t="shared" ref="ER7:ES7" si="19">IFERROR(AVERAGE(IFERROR(VALUE(CU7),""),IFERROR(VALUE(DB7),""),IFERROR(VALUE(DI7),""),IFERROR(VALUE(DO7),"")),"")</f>
        <v>0.41325</v>
      </c>
      <c r="ES7" s="88">
        <f t="shared" si="19"/>
        <v>0.2535</v>
      </c>
      <c r="ET7" s="89">
        <f t="shared" ref="ET7:EU7" si="20">IFERROR(AVERAGE(IFERROR(VALUE(CS7),""),IFERROR(VALUE(CZ7),""),IFERROR(VALUE(DG7),"")),"")</f>
        <v>0.563</v>
      </c>
      <c r="EU7" s="90">
        <f t="shared" si="20"/>
        <v>0.134</v>
      </c>
      <c r="EV7" s="51">
        <v>0.623</v>
      </c>
      <c r="EW7" s="51">
        <v>0.104</v>
      </c>
    </row>
    <row r="8">
      <c r="A8" s="52"/>
      <c r="B8" s="53" t="s">
        <v>218</v>
      </c>
      <c r="C8" s="25">
        <v>0.867</v>
      </c>
      <c r="D8" s="26" t="s">
        <v>219</v>
      </c>
      <c r="E8" s="26" t="s">
        <v>62</v>
      </c>
      <c r="F8" s="26" t="s">
        <v>220</v>
      </c>
      <c r="G8" s="26" t="s">
        <v>221</v>
      </c>
      <c r="H8" s="26">
        <v>0.388</v>
      </c>
      <c r="I8" s="26" t="s">
        <v>222</v>
      </c>
      <c r="J8" s="26" t="s">
        <v>223</v>
      </c>
      <c r="K8" s="26" t="s">
        <v>224</v>
      </c>
      <c r="L8" s="26" t="s">
        <v>225</v>
      </c>
      <c r="M8" s="26">
        <v>0.782</v>
      </c>
      <c r="N8" s="26" t="s">
        <v>139</v>
      </c>
      <c r="O8" s="26" t="s">
        <v>85</v>
      </c>
      <c r="P8" s="26" t="s">
        <v>136</v>
      </c>
      <c r="Q8" s="26" t="s">
        <v>226</v>
      </c>
      <c r="R8" s="26">
        <v>0.654</v>
      </c>
      <c r="S8" s="26" t="s">
        <v>189</v>
      </c>
      <c r="T8" s="26" t="s">
        <v>227</v>
      </c>
      <c r="U8" s="26" t="s">
        <v>170</v>
      </c>
      <c r="V8" s="26" t="s">
        <v>228</v>
      </c>
      <c r="W8" s="26">
        <v>0.899</v>
      </c>
      <c r="X8" s="26" t="s">
        <v>229</v>
      </c>
      <c r="Y8" s="26" t="s">
        <v>71</v>
      </c>
      <c r="Z8" s="26" t="s">
        <v>170</v>
      </c>
      <c r="AA8" s="26" t="s">
        <v>228</v>
      </c>
      <c r="AB8" s="26">
        <v>0.958</v>
      </c>
      <c r="AC8" s="26" t="s">
        <v>230</v>
      </c>
      <c r="AD8" s="26" t="s">
        <v>75</v>
      </c>
      <c r="AE8" s="26" t="s">
        <v>134</v>
      </c>
      <c r="AF8" s="27" t="s">
        <v>231</v>
      </c>
      <c r="AG8" s="26">
        <v>0.467</v>
      </c>
      <c r="AH8" s="26" t="s">
        <v>168</v>
      </c>
      <c r="AI8" s="26" t="s">
        <v>232</v>
      </c>
      <c r="AJ8" s="26">
        <v>0.106</v>
      </c>
      <c r="AK8" s="26" t="s">
        <v>233</v>
      </c>
      <c r="AL8" s="26" t="s">
        <v>234</v>
      </c>
      <c r="AM8" s="26">
        <v>0.541</v>
      </c>
      <c r="AN8" s="26" t="s">
        <v>82</v>
      </c>
      <c r="AO8" s="26" t="s">
        <v>83</v>
      </c>
      <c r="AP8" s="26">
        <v>0.247</v>
      </c>
      <c r="AQ8" s="26" t="s">
        <v>235</v>
      </c>
      <c r="AR8" s="26" t="s">
        <v>236</v>
      </c>
      <c r="AS8" s="26">
        <v>0.43</v>
      </c>
      <c r="AT8" s="26" t="s">
        <v>237</v>
      </c>
      <c r="AU8" s="26" t="s">
        <v>238</v>
      </c>
      <c r="AV8" s="28">
        <v>0.163</v>
      </c>
      <c r="AW8" s="26" t="s">
        <v>94</v>
      </c>
      <c r="AX8" s="26" t="s">
        <v>239</v>
      </c>
      <c r="AY8" s="29">
        <v>0.066</v>
      </c>
      <c r="AZ8" s="26" t="s">
        <v>240</v>
      </c>
      <c r="BA8" s="26" t="s">
        <v>241</v>
      </c>
      <c r="BB8" s="29">
        <v>0.097</v>
      </c>
      <c r="BC8" s="26" t="s">
        <v>242</v>
      </c>
      <c r="BD8" s="26" t="s">
        <v>243</v>
      </c>
      <c r="BE8" s="29">
        <v>0.29</v>
      </c>
      <c r="BF8" s="26" t="s">
        <v>103</v>
      </c>
      <c r="BG8" s="26" t="s">
        <v>117</v>
      </c>
      <c r="BH8" s="29">
        <v>0.14</v>
      </c>
      <c r="BI8" s="26" t="s">
        <v>169</v>
      </c>
      <c r="BJ8" s="26" t="s">
        <v>244</v>
      </c>
      <c r="BK8" s="29">
        <v>0.124</v>
      </c>
      <c r="BL8" s="29">
        <v>0.724</v>
      </c>
      <c r="BM8" s="29">
        <v>0.804</v>
      </c>
      <c r="BN8" s="29">
        <v>0.124</v>
      </c>
      <c r="BO8" s="29">
        <v>0.741</v>
      </c>
      <c r="BP8" s="29">
        <v>0.835</v>
      </c>
      <c r="BQ8" s="26"/>
      <c r="BR8" s="26"/>
      <c r="BS8" s="27"/>
      <c r="BT8" s="26" t="s">
        <v>245</v>
      </c>
      <c r="BU8" s="26" t="s">
        <v>246</v>
      </c>
      <c r="BV8" s="26" t="s">
        <v>247</v>
      </c>
      <c r="BW8" s="26" t="s">
        <v>248</v>
      </c>
      <c r="BX8" s="26" t="s">
        <v>249</v>
      </c>
      <c r="BY8" s="26" t="s">
        <v>250</v>
      </c>
      <c r="BZ8" s="26" t="s">
        <v>150</v>
      </c>
      <c r="CA8" s="26" t="s">
        <v>251</v>
      </c>
      <c r="CB8" s="26" t="s">
        <v>252</v>
      </c>
      <c r="CC8" s="26" t="s">
        <v>253</v>
      </c>
      <c r="CD8" s="26" t="s">
        <v>254</v>
      </c>
      <c r="CE8" s="26" t="s">
        <v>255</v>
      </c>
      <c r="CF8" s="26" t="s">
        <v>256</v>
      </c>
      <c r="CG8" s="26" t="s">
        <v>257</v>
      </c>
      <c r="CH8" s="29">
        <v>0.9946319018</v>
      </c>
      <c r="CI8" s="29">
        <v>0.9840461934</v>
      </c>
      <c r="CJ8" s="29">
        <v>0.9882413088</v>
      </c>
      <c r="CK8" s="29">
        <v>0.8204137057</v>
      </c>
      <c r="CL8" s="29">
        <v>0.5891445092</v>
      </c>
      <c r="CM8" s="31">
        <v>0.687</v>
      </c>
      <c r="CN8" s="31">
        <v>0.721</v>
      </c>
      <c r="CO8" s="31">
        <v>0.357</v>
      </c>
      <c r="CP8" s="31">
        <v>0.126</v>
      </c>
      <c r="CQ8" s="28">
        <v>0.796</v>
      </c>
      <c r="CR8" s="29">
        <v>0.875</v>
      </c>
      <c r="CS8" s="29">
        <v>0.511</v>
      </c>
      <c r="CT8" s="29">
        <v>0.121</v>
      </c>
      <c r="CU8" s="29">
        <v>0.58</v>
      </c>
      <c r="CV8" s="29">
        <v>0.369</v>
      </c>
      <c r="CW8" s="29">
        <v>0.245</v>
      </c>
      <c r="CX8" s="29">
        <v>0.896</v>
      </c>
      <c r="CY8" s="29">
        <v>0.968</v>
      </c>
      <c r="CZ8" s="29">
        <v>0.714</v>
      </c>
      <c r="DA8" s="29">
        <v>0.296</v>
      </c>
      <c r="DB8" s="29">
        <v>0.809</v>
      </c>
      <c r="DC8" s="29">
        <v>0.67</v>
      </c>
      <c r="DD8" s="29">
        <v>0.391</v>
      </c>
      <c r="DE8" s="29">
        <v>0.79</v>
      </c>
      <c r="DF8" s="29">
        <v>0.875</v>
      </c>
      <c r="DG8" s="29">
        <v>0.456</v>
      </c>
      <c r="DH8" s="29">
        <v>0.037</v>
      </c>
      <c r="DI8" s="29">
        <v>0.558</v>
      </c>
      <c r="DJ8" s="29">
        <v>0.374</v>
      </c>
      <c r="DK8" s="29">
        <v>0.054</v>
      </c>
      <c r="DL8" s="29">
        <v>0.981</v>
      </c>
      <c r="DM8" s="29" t="s">
        <v>158</v>
      </c>
      <c r="DN8" s="29" t="s">
        <v>258</v>
      </c>
      <c r="DO8" s="29" t="s">
        <v>259</v>
      </c>
      <c r="DP8" s="32" t="s">
        <v>260</v>
      </c>
      <c r="DQ8" s="29">
        <v>0.155</v>
      </c>
      <c r="DR8" s="29">
        <v>0.75</v>
      </c>
      <c r="DS8" s="29">
        <v>0.805</v>
      </c>
      <c r="DT8" s="29">
        <v>0.408</v>
      </c>
      <c r="DU8" s="29">
        <v>0.233</v>
      </c>
      <c r="DZ8" s="91">
        <f t="shared" ref="DZ8:ED8" si="21">IFERROR(AVERAGE(IFERROR(VALUE(C8),""),IFERROR(VALUE(H8),""),IFERROR(VALUE(M8),""),IFERROR(VALUE(R8),""),IFERROR(VALUE(W8),""),IFERROR(VALUE(AB8),"")),"")</f>
        <v>0.758</v>
      </c>
      <c r="EA8" s="92">
        <f t="shared" si="21"/>
        <v>0.7483333333</v>
      </c>
      <c r="EB8" s="34">
        <f t="shared" si="21"/>
        <v>0.6246666667</v>
      </c>
      <c r="EC8" s="83">
        <f t="shared" si="21"/>
        <v>0.4781666667</v>
      </c>
      <c r="ED8" s="93">
        <f t="shared" si="21"/>
        <v>0.2418333333</v>
      </c>
      <c r="EE8" s="94">
        <f t="shared" ref="EE8:EG8" si="22">IFERROR(AVERAGE(IFERROR(VALUE(AG8),""),IFERROR(VALUE(AJ8),""),IFERROR(VALUE(AM8),""),IFERROR(VALUE(AP8),""),IFERROR(VALUE(AS8),"")),"")</f>
        <v>0.3582</v>
      </c>
      <c r="EF8" s="95">
        <f t="shared" si="22"/>
        <v>0.7136</v>
      </c>
      <c r="EG8" s="96">
        <f t="shared" si="22"/>
        <v>0.6424</v>
      </c>
      <c r="EH8" s="34">
        <v>0.676</v>
      </c>
      <c r="EI8" s="97">
        <v>0.81</v>
      </c>
      <c r="EJ8" s="19" t="str">
        <f t="shared" si="8"/>
        <v/>
      </c>
      <c r="EK8" s="49">
        <f t="shared" si="9"/>
        <v>0.8170115484</v>
      </c>
      <c r="EL8" s="98">
        <f t="shared" si="10"/>
        <v>0.7913103272</v>
      </c>
      <c r="EM8" s="99">
        <f t="shared" si="11"/>
        <v>0.5273534264</v>
      </c>
      <c r="EN8" s="100">
        <f t="shared" si="12"/>
        <v>0.3070361273</v>
      </c>
      <c r="EO8" s="101">
        <v>0.981</v>
      </c>
      <c r="EP8" s="102">
        <f t="shared" ref="EP8:EQ8" si="23">IFERROR(AVERAGE(IFERROR(VALUE(CQ8),""),IFERROR(VALUE(CX8),""),IFERROR(VALUE(DE8),""),IFERROR(VALUE(DM8),"")),"")</f>
        <v>0.8325</v>
      </c>
      <c r="EQ8" s="103">
        <f t="shared" si="23"/>
        <v>0.91925</v>
      </c>
      <c r="ER8" s="104">
        <f t="shared" ref="ER8:ES8" si="24">IFERROR(AVERAGE(IFERROR(VALUE(CU8),""),IFERROR(VALUE(DB8),""),IFERROR(VALUE(DI8),""),IFERROR(VALUE(DO8),"")),"")</f>
        <v>0.6465</v>
      </c>
      <c r="ES8" s="105">
        <f t="shared" si="24"/>
        <v>0.502</v>
      </c>
      <c r="ET8" s="106">
        <f t="shared" ref="ET8:EU8" si="25">IFERROR(AVERAGE(IFERROR(VALUE(CS8),""),IFERROR(VALUE(CZ8),""),IFERROR(VALUE(DG8),"")),"")</f>
        <v>0.5603333333</v>
      </c>
      <c r="EU8" s="107">
        <f t="shared" si="25"/>
        <v>0.1513333333</v>
      </c>
      <c r="EV8" s="51">
        <v>0.632</v>
      </c>
      <c r="EW8" s="51">
        <v>0.143</v>
      </c>
    </row>
    <row r="9">
      <c r="A9" s="52"/>
      <c r="B9" s="53" t="s">
        <v>261</v>
      </c>
      <c r="C9" s="25">
        <v>0.852</v>
      </c>
      <c r="D9" s="26" t="s">
        <v>143</v>
      </c>
      <c r="E9" s="26" t="s">
        <v>262</v>
      </c>
      <c r="F9" s="26" t="s">
        <v>263</v>
      </c>
      <c r="G9" s="26" t="s">
        <v>68</v>
      </c>
      <c r="H9" s="26">
        <v>0.318</v>
      </c>
      <c r="I9" s="26" t="s">
        <v>220</v>
      </c>
      <c r="J9" s="26" t="s">
        <v>264</v>
      </c>
      <c r="K9" s="26" t="s">
        <v>265</v>
      </c>
      <c r="L9" s="26" t="s">
        <v>266</v>
      </c>
      <c r="M9" s="26">
        <v>0.769</v>
      </c>
      <c r="N9" s="26" t="s">
        <v>267</v>
      </c>
      <c r="O9" s="26" t="s">
        <v>268</v>
      </c>
      <c r="P9" s="26" t="s">
        <v>269</v>
      </c>
      <c r="Q9" s="26" t="s">
        <v>270</v>
      </c>
      <c r="R9" s="26">
        <v>0.6615</v>
      </c>
      <c r="S9" s="26" t="s">
        <v>271</v>
      </c>
      <c r="T9" s="26" t="s">
        <v>272</v>
      </c>
      <c r="U9" s="26" t="s">
        <v>273</v>
      </c>
      <c r="V9" s="26" t="s">
        <v>274</v>
      </c>
      <c r="W9" s="26">
        <v>0.77</v>
      </c>
      <c r="X9" s="26" t="s">
        <v>169</v>
      </c>
      <c r="Y9" s="26" t="s">
        <v>275</v>
      </c>
      <c r="Z9" s="26" t="s">
        <v>276</v>
      </c>
      <c r="AA9" s="26" t="s">
        <v>277</v>
      </c>
      <c r="AB9" s="26">
        <v>0.858</v>
      </c>
      <c r="AC9" s="26" t="s">
        <v>116</v>
      </c>
      <c r="AD9" s="26" t="s">
        <v>278</v>
      </c>
      <c r="AE9" s="26" t="s">
        <v>279</v>
      </c>
      <c r="AF9" s="27" t="s">
        <v>280</v>
      </c>
      <c r="AG9" s="26">
        <v>0.465</v>
      </c>
      <c r="AH9" s="26" t="s">
        <v>281</v>
      </c>
      <c r="AI9" s="26" t="s">
        <v>111</v>
      </c>
      <c r="AJ9" s="26">
        <v>0.111</v>
      </c>
      <c r="AK9" s="72">
        <v>0.711</v>
      </c>
      <c r="AL9" s="72">
        <v>0.293</v>
      </c>
      <c r="AM9" s="26">
        <v>0.472</v>
      </c>
      <c r="AN9" s="26" t="s">
        <v>282</v>
      </c>
      <c r="AO9" s="26" t="s">
        <v>283</v>
      </c>
      <c r="AP9" s="26">
        <v>0.344</v>
      </c>
      <c r="AQ9" s="26" t="s">
        <v>284</v>
      </c>
      <c r="AR9" s="26" t="s">
        <v>285</v>
      </c>
      <c r="AS9" s="26">
        <v>0.309</v>
      </c>
      <c r="AT9" s="26" t="s">
        <v>286</v>
      </c>
      <c r="AU9" s="26" t="s">
        <v>287</v>
      </c>
      <c r="AV9" s="28">
        <v>0.142</v>
      </c>
      <c r="AW9" s="26" t="s">
        <v>119</v>
      </c>
      <c r="AX9" s="26" t="s">
        <v>288</v>
      </c>
      <c r="AY9" s="29">
        <v>0.044</v>
      </c>
      <c r="AZ9" s="26" t="s">
        <v>289</v>
      </c>
      <c r="BA9" s="26" t="s">
        <v>290</v>
      </c>
      <c r="BB9" s="29">
        <v>0.05</v>
      </c>
      <c r="BC9" s="26" t="s">
        <v>291</v>
      </c>
      <c r="BD9" s="26" t="s">
        <v>244</v>
      </c>
      <c r="BE9" s="29">
        <v>0.196</v>
      </c>
      <c r="BF9" s="26" t="s">
        <v>189</v>
      </c>
      <c r="BG9" s="26" t="s">
        <v>292</v>
      </c>
      <c r="BH9" s="29">
        <v>0.05</v>
      </c>
      <c r="BI9" s="26" t="s">
        <v>263</v>
      </c>
      <c r="BJ9" s="26" t="s">
        <v>189</v>
      </c>
      <c r="BK9" s="29">
        <v>0.081</v>
      </c>
      <c r="BL9" s="29">
        <v>0.74</v>
      </c>
      <c r="BM9" s="29">
        <v>0.776</v>
      </c>
      <c r="BN9" s="29">
        <v>0.082</v>
      </c>
      <c r="BO9" s="29">
        <v>0.714</v>
      </c>
      <c r="BP9" s="29">
        <v>0.82</v>
      </c>
      <c r="BQ9" s="26"/>
      <c r="BR9" s="26"/>
      <c r="BS9" s="27"/>
      <c r="BT9" s="26">
        <v>0.89</v>
      </c>
      <c r="BU9" s="26" t="s">
        <v>293</v>
      </c>
      <c r="BV9" s="26" t="s">
        <v>88</v>
      </c>
      <c r="BW9" s="26" t="s">
        <v>294</v>
      </c>
      <c r="BX9" s="26" t="s">
        <v>295</v>
      </c>
      <c r="BY9" s="26">
        <v>0.927</v>
      </c>
      <c r="BZ9" s="26" t="s">
        <v>194</v>
      </c>
      <c r="CA9" s="26" t="s">
        <v>291</v>
      </c>
      <c r="CB9" s="26" t="s">
        <v>296</v>
      </c>
      <c r="CC9" s="26" t="s">
        <v>297</v>
      </c>
      <c r="CD9" s="26" t="s">
        <v>298</v>
      </c>
      <c r="CE9" s="26" t="s">
        <v>299</v>
      </c>
      <c r="CF9" s="31">
        <v>0.484</v>
      </c>
      <c r="CG9" s="26" t="s">
        <v>300</v>
      </c>
      <c r="CH9" s="31">
        <v>0.992</v>
      </c>
      <c r="CI9" s="72">
        <v>0.872</v>
      </c>
      <c r="CJ9" s="31">
        <v>0.987</v>
      </c>
      <c r="CK9" s="31">
        <v>0.757</v>
      </c>
      <c r="CL9" s="31">
        <v>0.498</v>
      </c>
      <c r="CM9" s="31">
        <v>0.621</v>
      </c>
      <c r="CN9" s="31">
        <v>0.661</v>
      </c>
      <c r="CO9" s="31">
        <v>0.318</v>
      </c>
      <c r="CP9" s="31">
        <v>0.089</v>
      </c>
      <c r="CQ9" s="28">
        <v>0.684</v>
      </c>
      <c r="CR9" s="29">
        <v>0.825</v>
      </c>
      <c r="CS9" s="29">
        <v>0.521</v>
      </c>
      <c r="CT9" s="29">
        <v>0.117</v>
      </c>
      <c r="CU9" s="29">
        <v>0.374</v>
      </c>
      <c r="CV9" s="29">
        <v>0.181</v>
      </c>
      <c r="CW9" s="29">
        <v>0.23</v>
      </c>
      <c r="CX9" s="29">
        <v>0.875</v>
      </c>
      <c r="CY9" s="29">
        <v>0.943</v>
      </c>
      <c r="CZ9" s="29">
        <v>0.634</v>
      </c>
      <c r="DA9" s="29">
        <v>0.192</v>
      </c>
      <c r="DB9" s="29">
        <v>0.794</v>
      </c>
      <c r="DC9" s="29">
        <v>0.656</v>
      </c>
      <c r="DD9" s="29">
        <v>0.292</v>
      </c>
      <c r="DE9" s="29">
        <v>0.654</v>
      </c>
      <c r="DF9" s="29">
        <v>0.738</v>
      </c>
      <c r="DG9" s="29">
        <v>0.492</v>
      </c>
      <c r="DH9" s="29">
        <v>0.084</v>
      </c>
      <c r="DI9" s="29">
        <v>0.243</v>
      </c>
      <c r="DJ9" s="29">
        <v>0.113</v>
      </c>
      <c r="DK9" s="29">
        <v>0.118</v>
      </c>
      <c r="DL9" s="29">
        <v>0.967</v>
      </c>
      <c r="DM9" s="29" t="s">
        <v>301</v>
      </c>
      <c r="DN9" s="29" t="s">
        <v>302</v>
      </c>
      <c r="DO9" s="29" t="s">
        <v>303</v>
      </c>
      <c r="DP9" s="32" t="s">
        <v>304</v>
      </c>
      <c r="DQ9" s="29">
        <v>0.35</v>
      </c>
      <c r="DR9" s="29">
        <v>0.622</v>
      </c>
      <c r="DS9" s="29">
        <v>0.706</v>
      </c>
      <c r="DT9" s="29">
        <v>0.151</v>
      </c>
      <c r="DU9" s="29">
        <v>0.038</v>
      </c>
      <c r="DZ9" s="108">
        <f t="shared" ref="DZ9:ED9" si="26">IFERROR(AVERAGE(IFERROR(VALUE(C9),""),IFERROR(VALUE(H9),""),IFERROR(VALUE(M9),""),IFERROR(VALUE(R9),""),IFERROR(VALUE(W9),""),IFERROR(VALUE(AB9),"")),"")</f>
        <v>0.70475</v>
      </c>
      <c r="EA9" s="109">
        <f t="shared" si="26"/>
        <v>0.6465</v>
      </c>
      <c r="EB9" s="110">
        <f t="shared" si="26"/>
        <v>0.4915</v>
      </c>
      <c r="EC9" s="111">
        <f t="shared" si="26"/>
        <v>0.41</v>
      </c>
      <c r="ED9" s="71">
        <f t="shared" si="26"/>
        <v>0.1106666667</v>
      </c>
      <c r="EE9" s="33">
        <f t="shared" ref="EE9:EG9" si="27">IFERROR(AVERAGE(IFERROR(VALUE(AG9),""),IFERROR(VALUE(AJ9),""),IFERROR(VALUE(AM9),""),IFERROR(VALUE(AP9),""),IFERROR(VALUE(AS9),"")),"")</f>
        <v>0.3402</v>
      </c>
      <c r="EF9" s="38">
        <f t="shared" si="27"/>
        <v>0.689</v>
      </c>
      <c r="EG9" s="112">
        <f t="shared" si="27"/>
        <v>0.6342</v>
      </c>
      <c r="EH9" s="38">
        <v>0.67</v>
      </c>
      <c r="EI9" s="113">
        <v>0.774</v>
      </c>
      <c r="EJ9" s="114">
        <f t="shared" si="8"/>
        <v>0.9363333333</v>
      </c>
      <c r="EK9" s="115">
        <f>IFERROR(AVERAGE(IFERROR(VALUE(BZ9),""),IFERROR(VALUE(CD9),""),IFERROR(VALUE(CF9),""),IFERROR(VALUE(CM9),"")),"")</f>
        <v>0.629</v>
      </c>
      <c r="EL9" s="116">
        <f t="shared" si="10"/>
        <v>0.716</v>
      </c>
      <c r="EM9" s="117" t="str">
        <f>IFERROR(AVERAGE(IFERROR(VALUE(CB9),""),IFERROR(VALUE(#REF!),""),IFERROR(VALUE(CK9),""),IFERROR(VALUE(CO9),"")),"")</f>
        <v/>
      </c>
      <c r="EN9" s="118">
        <f t="shared" si="12"/>
        <v>0.225</v>
      </c>
      <c r="EO9" s="119">
        <v>0.967</v>
      </c>
      <c r="EP9" s="35">
        <f t="shared" ref="EP9:EQ9" si="28">IFERROR(AVERAGE(IFERROR(VALUE(CQ9),""),IFERROR(VALUE(CX9),""),IFERROR(VALUE(DE9),""),IFERROR(VALUE(DM9),"")),"")</f>
        <v>0.76325</v>
      </c>
      <c r="EQ9" s="84">
        <f t="shared" si="28"/>
        <v>0.85975</v>
      </c>
      <c r="ER9" s="83">
        <f t="shared" ref="ER9:ES9" si="29">IFERROR(AVERAGE(IFERROR(VALUE(CU9),""),IFERROR(VALUE(DB9),""),IFERROR(VALUE(DI9),""),IFERROR(VALUE(DO9),"")),"")</f>
        <v>0.505</v>
      </c>
      <c r="ES9" s="34">
        <f t="shared" si="29"/>
        <v>0.373</v>
      </c>
      <c r="ET9" s="120">
        <f t="shared" ref="ET9:EU9" si="30">IFERROR(AVERAGE(IFERROR(VALUE(CS9),""),IFERROR(VALUE(CZ9),""),IFERROR(VALUE(DG9),"")),"")</f>
        <v>0.549</v>
      </c>
      <c r="EU9" s="121">
        <f t="shared" si="30"/>
        <v>0.131</v>
      </c>
      <c r="EV9" s="51">
        <v>0.623</v>
      </c>
      <c r="EW9" s="51">
        <v>0.092</v>
      </c>
    </row>
    <row r="10">
      <c r="A10" s="52"/>
      <c r="B10" s="53" t="s">
        <v>305</v>
      </c>
      <c r="C10" s="25">
        <v>0.926</v>
      </c>
      <c r="D10" s="26" t="s">
        <v>306</v>
      </c>
      <c r="E10" s="26" t="s">
        <v>307</v>
      </c>
      <c r="F10" s="26" t="s">
        <v>140</v>
      </c>
      <c r="G10" s="26" t="s">
        <v>308</v>
      </c>
      <c r="H10" s="26">
        <v>0.58</v>
      </c>
      <c r="I10" s="26" t="s">
        <v>309</v>
      </c>
      <c r="J10" s="26" t="s">
        <v>310</v>
      </c>
      <c r="K10" s="26" t="s">
        <v>311</v>
      </c>
      <c r="L10" s="26" t="s">
        <v>312</v>
      </c>
      <c r="M10" s="26">
        <v>0.804</v>
      </c>
      <c r="N10" s="26" t="s">
        <v>146</v>
      </c>
      <c r="O10" s="26" t="s">
        <v>313</v>
      </c>
      <c r="P10" s="26" t="s">
        <v>212</v>
      </c>
      <c r="Q10" s="26" t="s">
        <v>314</v>
      </c>
      <c r="R10" s="26">
        <v>0.72</v>
      </c>
      <c r="S10" s="26" t="s">
        <v>148</v>
      </c>
      <c r="T10" s="26" t="s">
        <v>202</v>
      </c>
      <c r="U10" s="26" t="s">
        <v>257</v>
      </c>
      <c r="V10" s="26" t="s">
        <v>172</v>
      </c>
      <c r="W10" s="26">
        <v>0.885</v>
      </c>
      <c r="X10" s="26" t="s">
        <v>208</v>
      </c>
      <c r="Y10" s="26" t="s">
        <v>200</v>
      </c>
      <c r="Z10" s="26" t="s">
        <v>294</v>
      </c>
      <c r="AA10" s="26" t="s">
        <v>315</v>
      </c>
      <c r="AB10" s="26">
        <v>0.912</v>
      </c>
      <c r="AC10" s="26" t="s">
        <v>316</v>
      </c>
      <c r="AD10" s="26" t="s">
        <v>317</v>
      </c>
      <c r="AE10" s="26" t="s">
        <v>318</v>
      </c>
      <c r="AF10" s="27" t="s">
        <v>319</v>
      </c>
      <c r="AG10" s="26">
        <v>0.601</v>
      </c>
      <c r="AH10" s="26" t="s">
        <v>222</v>
      </c>
      <c r="AI10" s="26" t="s">
        <v>320</v>
      </c>
      <c r="AJ10" s="26">
        <v>0.124</v>
      </c>
      <c r="AK10" s="26" t="s">
        <v>283</v>
      </c>
      <c r="AL10" s="26" t="s">
        <v>321</v>
      </c>
      <c r="AM10" s="26">
        <v>0.596</v>
      </c>
      <c r="AN10" s="26" t="s">
        <v>279</v>
      </c>
      <c r="AO10" s="26" t="s">
        <v>322</v>
      </c>
      <c r="AP10" s="26">
        <v>0.159</v>
      </c>
      <c r="AQ10" s="26" t="s">
        <v>137</v>
      </c>
      <c r="AR10" s="26" t="s">
        <v>244</v>
      </c>
      <c r="AS10" s="26">
        <v>0.447</v>
      </c>
      <c r="AT10" s="26" t="s">
        <v>323</v>
      </c>
      <c r="AU10" s="26" t="s">
        <v>324</v>
      </c>
      <c r="AV10" s="28">
        <v>0.244</v>
      </c>
      <c r="AW10" s="26" t="s">
        <v>176</v>
      </c>
      <c r="AX10" s="26" t="s">
        <v>325</v>
      </c>
      <c r="AY10" s="29">
        <v>0.132</v>
      </c>
      <c r="AZ10" s="26" t="s">
        <v>326</v>
      </c>
      <c r="BA10" s="26" t="s">
        <v>327</v>
      </c>
      <c r="BB10" s="29">
        <v>0.177</v>
      </c>
      <c r="BC10" s="26" t="s">
        <v>328</v>
      </c>
      <c r="BD10" s="26" t="s">
        <v>329</v>
      </c>
      <c r="BE10" s="29">
        <v>0.419</v>
      </c>
      <c r="BF10" s="26" t="s">
        <v>330</v>
      </c>
      <c r="BG10" s="26" t="s">
        <v>331</v>
      </c>
      <c r="BH10" s="29">
        <v>0.251</v>
      </c>
      <c r="BI10" s="26" t="s">
        <v>332</v>
      </c>
      <c r="BJ10" s="26" t="s">
        <v>333</v>
      </c>
      <c r="BK10" s="29">
        <v>0.143</v>
      </c>
      <c r="BL10" s="30">
        <v>0.749</v>
      </c>
      <c r="BM10" s="30">
        <v>0.844</v>
      </c>
      <c r="BN10" s="29">
        <v>0.197</v>
      </c>
      <c r="BO10" s="29">
        <v>0.796</v>
      </c>
      <c r="BP10" s="29">
        <v>0.869</v>
      </c>
      <c r="BQ10" s="26"/>
      <c r="BR10" s="26"/>
      <c r="BS10" s="27"/>
      <c r="BT10" s="26">
        <v>0.885</v>
      </c>
      <c r="BU10" s="26" t="s">
        <v>334</v>
      </c>
      <c r="BV10" s="26" t="s">
        <v>335</v>
      </c>
      <c r="BW10" s="26" t="s">
        <v>336</v>
      </c>
      <c r="BX10" s="26" t="s">
        <v>337</v>
      </c>
      <c r="BY10" s="26">
        <v>0.916</v>
      </c>
      <c r="BZ10" s="26" t="s">
        <v>338</v>
      </c>
      <c r="CA10" s="26" t="s">
        <v>306</v>
      </c>
      <c r="CB10" s="26" t="s">
        <v>339</v>
      </c>
      <c r="CC10" s="26" t="s">
        <v>340</v>
      </c>
      <c r="CD10" s="26" t="s">
        <v>341</v>
      </c>
      <c r="CE10" s="26" t="s">
        <v>137</v>
      </c>
      <c r="CF10" s="26" t="s">
        <v>311</v>
      </c>
      <c r="CG10" s="26" t="s">
        <v>342</v>
      </c>
      <c r="CH10" s="29">
        <v>0.9445296524</v>
      </c>
      <c r="CI10" s="29">
        <v>0.9429376853</v>
      </c>
      <c r="CJ10" s="29">
        <v>0.9097648262</v>
      </c>
      <c r="CK10" s="29">
        <v>0.834580873</v>
      </c>
      <c r="CL10" s="29">
        <v>0.617049719</v>
      </c>
      <c r="CM10" s="31">
        <v>0.736</v>
      </c>
      <c r="CN10" s="31">
        <v>0.776</v>
      </c>
      <c r="CO10" s="31">
        <v>0.438</v>
      </c>
      <c r="CP10" s="31">
        <v>0.16</v>
      </c>
      <c r="CQ10" s="28">
        <v>0.916</v>
      </c>
      <c r="CR10" s="29">
        <v>0.99</v>
      </c>
      <c r="CS10" s="29">
        <v>0.489</v>
      </c>
      <c r="CT10" s="29">
        <v>0.094</v>
      </c>
      <c r="CU10" s="29">
        <v>0.921</v>
      </c>
      <c r="CV10" s="29">
        <v>0.876</v>
      </c>
      <c r="CW10" s="29">
        <v>0.185</v>
      </c>
      <c r="CX10" s="29">
        <v>0.942</v>
      </c>
      <c r="CY10" s="29">
        <v>0.98</v>
      </c>
      <c r="CZ10" s="29">
        <v>0.711</v>
      </c>
      <c r="DA10" s="29">
        <v>0.363</v>
      </c>
      <c r="DB10" s="29">
        <v>0.931</v>
      </c>
      <c r="DC10" s="29">
        <v>0.849</v>
      </c>
      <c r="DD10" s="29">
        <v>0.359</v>
      </c>
      <c r="DE10" s="29">
        <v>0.844</v>
      </c>
      <c r="DF10" s="29">
        <v>0.952</v>
      </c>
      <c r="DG10" s="29">
        <v>0.524</v>
      </c>
      <c r="DH10" s="29">
        <v>0.166</v>
      </c>
      <c r="DI10" s="29">
        <v>0.706</v>
      </c>
      <c r="DJ10" s="29">
        <v>0.582</v>
      </c>
      <c r="DK10" s="29">
        <v>0.112</v>
      </c>
      <c r="DL10" s="29">
        <v>0.984</v>
      </c>
      <c r="DM10" s="29" t="s">
        <v>343</v>
      </c>
      <c r="DN10" s="29" t="s">
        <v>316</v>
      </c>
      <c r="DO10" s="29" t="s">
        <v>168</v>
      </c>
      <c r="DP10" s="32" t="s">
        <v>137</v>
      </c>
      <c r="DQ10" s="29">
        <v>0.29</v>
      </c>
      <c r="DR10" s="29">
        <v>0.875</v>
      </c>
      <c r="DS10" s="29">
        <v>0.921</v>
      </c>
      <c r="DT10" s="29">
        <v>0.837</v>
      </c>
      <c r="DU10" s="29">
        <v>0.772</v>
      </c>
      <c r="DZ10" s="122">
        <f t="shared" ref="DZ10:ED10" si="31">IFERROR(AVERAGE(IFERROR(VALUE(C10),""),IFERROR(VALUE(H10),""),IFERROR(VALUE(M10),""),IFERROR(VALUE(R10),""),IFERROR(VALUE(W10),""),IFERROR(VALUE(AB10),"")),"")</f>
        <v>0.8045</v>
      </c>
      <c r="EA10" s="123">
        <f t="shared" si="31"/>
        <v>0.7736666667</v>
      </c>
      <c r="EB10" s="124">
        <f t="shared" si="31"/>
        <v>0.6703333333</v>
      </c>
      <c r="EC10" s="125">
        <f t="shared" si="31"/>
        <v>0.5596666667</v>
      </c>
      <c r="ED10" s="126">
        <f t="shared" si="31"/>
        <v>0.2716666667</v>
      </c>
      <c r="EE10" s="127">
        <f t="shared" ref="EE10:EG10" si="32">IFERROR(AVERAGE(IFERROR(VALUE(AG10),""),IFERROR(VALUE(AJ10),""),IFERROR(VALUE(AM10),""),IFERROR(VALUE(AP10),""),IFERROR(VALUE(AS10),"")),"")</f>
        <v>0.3854</v>
      </c>
      <c r="EF10" s="128">
        <f t="shared" si="32"/>
        <v>0.7244</v>
      </c>
      <c r="EG10" s="129">
        <f t="shared" si="32"/>
        <v>0.6614</v>
      </c>
      <c r="EH10" s="130">
        <v>0.723</v>
      </c>
      <c r="EI10" s="131">
        <v>0.85</v>
      </c>
      <c r="EJ10" s="132">
        <f t="shared" si="8"/>
        <v>0.9151765508</v>
      </c>
      <c r="EK10" s="133">
        <f>IFERROR(AVERAGE(IFERROR(VALUE(BZ10),""),IFERROR(VALUE(CD10),""),IFERROR(VALUE(CI10),""),IFERROR(VALUE(CM10),"")),"")</f>
        <v>0.8112344213</v>
      </c>
      <c r="EL10" s="134">
        <f t="shared" si="10"/>
        <v>0.7961912066</v>
      </c>
      <c r="EM10" s="135">
        <f>IFERROR(AVERAGE(IFERROR(VALUE(CB10),""),IFERROR(VALUE(CF10),""),IFERROR(VALUE(CK10),""),IFERROR(VALUE(CO10),"")),"")</f>
        <v>0.5523952183</v>
      </c>
      <c r="EN10" s="136">
        <f t="shared" si="12"/>
        <v>0.3210124298</v>
      </c>
      <c r="EO10" s="137">
        <v>0.984</v>
      </c>
      <c r="EP10" s="138">
        <f t="shared" ref="EP10:EQ10" si="33">IFERROR(AVERAGE(IFERROR(VALUE(CQ10),""),IFERROR(VALUE(CX10),""),IFERROR(VALUE(DE10),""),IFERROR(VALUE(DM10),"")),"")</f>
        <v>0.88975</v>
      </c>
      <c r="EQ10" s="139">
        <f t="shared" si="33"/>
        <v>0.96825</v>
      </c>
      <c r="ER10" s="138">
        <f t="shared" ref="ER10:ES10" si="34">IFERROR(AVERAGE(IFERROR(VALUE(CU10),""),IFERROR(VALUE(DB10),""),IFERROR(VALUE(DI10),""),IFERROR(VALUE(DO10),"")),"")</f>
        <v>0.8075</v>
      </c>
      <c r="ES10" s="138">
        <f t="shared" si="34"/>
        <v>0.7335</v>
      </c>
      <c r="ET10" s="140">
        <f t="shared" ref="ET10:EU10" si="35">IFERROR(AVERAGE(IFERROR(VALUE(CS10),""),IFERROR(VALUE(CZ10),""),IFERROR(VALUE(DG10),"")),"")</f>
        <v>0.5746666667</v>
      </c>
      <c r="EU10" s="141">
        <f t="shared" si="35"/>
        <v>0.2076666667</v>
      </c>
      <c r="EV10" s="51">
        <v>0.646</v>
      </c>
      <c r="EW10" s="51">
        <v>0.223</v>
      </c>
    </row>
    <row r="11">
      <c r="A11" s="52"/>
      <c r="B11" s="142" t="s">
        <v>344</v>
      </c>
      <c r="C11" s="28">
        <v>0.841</v>
      </c>
      <c r="D11" s="29">
        <v>0.787</v>
      </c>
      <c r="E11" s="29">
        <v>0.643</v>
      </c>
      <c r="F11" s="29">
        <v>0.581</v>
      </c>
      <c r="G11" s="29">
        <v>0.203</v>
      </c>
      <c r="H11" s="29">
        <v>0.57</v>
      </c>
      <c r="I11" s="29">
        <v>0.798</v>
      </c>
      <c r="J11" s="29">
        <v>0.525</v>
      </c>
      <c r="K11" s="29">
        <v>0.635</v>
      </c>
      <c r="L11" s="29">
        <v>0.126</v>
      </c>
      <c r="M11" s="29">
        <v>0.756</v>
      </c>
      <c r="N11" s="29">
        <v>0.687</v>
      </c>
      <c r="O11" s="29">
        <v>0.655</v>
      </c>
      <c r="P11" s="29">
        <v>0.437</v>
      </c>
      <c r="Q11" s="29">
        <v>0.242</v>
      </c>
      <c r="R11" s="29">
        <v>0.622</v>
      </c>
      <c r="S11" s="29">
        <v>0.615</v>
      </c>
      <c r="T11" s="29">
        <v>0.415</v>
      </c>
      <c r="U11" s="29">
        <v>0.168</v>
      </c>
      <c r="V11" s="29">
        <v>0.081</v>
      </c>
      <c r="W11" s="29">
        <v>0.878</v>
      </c>
      <c r="X11" s="29">
        <v>0.664</v>
      </c>
      <c r="Y11" s="29">
        <v>0.655</v>
      </c>
      <c r="Z11" s="29">
        <v>0.309</v>
      </c>
      <c r="AA11" s="29">
        <v>0.088</v>
      </c>
      <c r="AB11" s="31">
        <v>0.89</v>
      </c>
      <c r="AC11" s="31">
        <v>0.921</v>
      </c>
      <c r="AD11" s="31">
        <v>0.85</v>
      </c>
      <c r="AE11" s="31">
        <v>0.777</v>
      </c>
      <c r="AF11" s="143">
        <v>0.372</v>
      </c>
      <c r="AG11" s="4">
        <v>0.465</v>
      </c>
      <c r="AH11" s="4">
        <v>0.598</v>
      </c>
      <c r="AI11" s="4">
        <v>0.864</v>
      </c>
      <c r="AJ11" s="4">
        <v>0.131</v>
      </c>
      <c r="AK11" s="4">
        <v>0.714</v>
      </c>
      <c r="AL11" s="4">
        <v>0.284</v>
      </c>
      <c r="AM11" s="4">
        <v>0.443</v>
      </c>
      <c r="AN11" s="4">
        <v>0.595</v>
      </c>
      <c r="AO11" s="4">
        <v>0.451</v>
      </c>
      <c r="AP11" s="144">
        <v>0.0834</v>
      </c>
      <c r="AQ11" s="144">
        <v>0.609</v>
      </c>
      <c r="AR11" s="144">
        <v>0.457</v>
      </c>
      <c r="AS11" s="4">
        <v>0.383</v>
      </c>
      <c r="AT11" s="4">
        <v>0.803</v>
      </c>
      <c r="AU11" s="4">
        <v>0.463</v>
      </c>
      <c r="AV11" s="145">
        <v>0.186</v>
      </c>
      <c r="AW11" s="4">
        <v>0.691</v>
      </c>
      <c r="AX11" s="4">
        <v>0.98</v>
      </c>
      <c r="AY11" s="4">
        <v>0.067</v>
      </c>
      <c r="AZ11" s="4">
        <v>0.619</v>
      </c>
      <c r="BA11" s="4">
        <v>0.85</v>
      </c>
      <c r="BB11" s="4">
        <v>0.151</v>
      </c>
      <c r="BC11" s="4">
        <v>0.811</v>
      </c>
      <c r="BD11" s="4">
        <v>0.758</v>
      </c>
      <c r="BE11" s="4">
        <v>0.252</v>
      </c>
      <c r="BF11" s="4">
        <v>0.639</v>
      </c>
      <c r="BG11" s="4">
        <v>0.594</v>
      </c>
      <c r="BH11" s="4">
        <v>0.183</v>
      </c>
      <c r="BI11" s="4">
        <v>0.582</v>
      </c>
      <c r="BJ11" s="4">
        <v>0.65</v>
      </c>
      <c r="BK11" s="4">
        <v>0.164</v>
      </c>
      <c r="BL11" s="4">
        <v>0.766</v>
      </c>
      <c r="BM11" s="4">
        <v>0.803</v>
      </c>
      <c r="BN11" s="4">
        <v>0.12</v>
      </c>
      <c r="BO11" s="4">
        <v>0.747</v>
      </c>
      <c r="BP11" s="4">
        <v>0.807</v>
      </c>
      <c r="BQ11" s="26"/>
      <c r="BR11" s="26"/>
      <c r="BS11" s="27"/>
      <c r="BT11" s="26"/>
      <c r="BU11" s="26"/>
      <c r="BV11" s="26"/>
      <c r="BW11" s="26"/>
      <c r="BX11" s="26"/>
      <c r="BY11" s="29">
        <v>0.9492273731</v>
      </c>
      <c r="BZ11" s="29">
        <v>0.6261931626</v>
      </c>
      <c r="CA11" s="29">
        <v>0.8388520971</v>
      </c>
      <c r="CB11" s="29">
        <v>0.2252897881</v>
      </c>
      <c r="CC11" s="29">
        <v>0.0489130819</v>
      </c>
      <c r="CD11" s="29">
        <v>0.8095149512</v>
      </c>
      <c r="CE11" s="29">
        <v>0.5101123596</v>
      </c>
      <c r="CF11" s="29">
        <v>0.5366117148</v>
      </c>
      <c r="CG11" s="29">
        <v>0.2076598273</v>
      </c>
      <c r="CH11" s="30">
        <v>0.9938650307</v>
      </c>
      <c r="CI11" s="30">
        <v>0.9593388382</v>
      </c>
      <c r="CJ11" s="30">
        <v>0.9943762781</v>
      </c>
      <c r="CK11" s="30">
        <v>0.9266671304</v>
      </c>
      <c r="CL11" s="30">
        <v>0.8052556969</v>
      </c>
      <c r="CM11" s="30">
        <v>0.6084182315</v>
      </c>
      <c r="CN11" s="30">
        <v>0.6139430285</v>
      </c>
      <c r="CO11" s="30">
        <v>0.2789928042</v>
      </c>
      <c r="CP11" s="30">
        <v>0.0823754905</v>
      </c>
      <c r="CQ11" s="29">
        <v>0.835</v>
      </c>
      <c r="CR11" s="29">
        <v>0.935</v>
      </c>
      <c r="CS11" s="29">
        <v>0.55</v>
      </c>
      <c r="CT11" s="29">
        <v>0.148</v>
      </c>
      <c r="CU11" s="29">
        <v>0.711</v>
      </c>
      <c r="CV11" s="29">
        <v>0.56</v>
      </c>
      <c r="CW11" s="29">
        <v>0.28</v>
      </c>
      <c r="CX11" s="29">
        <v>0.912</v>
      </c>
      <c r="CY11" s="29">
        <v>0.956</v>
      </c>
      <c r="CZ11" s="29">
        <v>0.713</v>
      </c>
      <c r="DA11" s="29">
        <v>0.365</v>
      </c>
      <c r="DB11" s="29">
        <v>0.84</v>
      </c>
      <c r="DC11" s="29">
        <v>0.727</v>
      </c>
      <c r="DD11" s="29">
        <v>0.383</v>
      </c>
      <c r="DE11" s="29">
        <v>0.655</v>
      </c>
      <c r="DF11" s="29">
        <v>0.783</v>
      </c>
      <c r="DG11" s="29">
        <v>0.518</v>
      </c>
      <c r="DH11" s="29">
        <v>0.228</v>
      </c>
      <c r="DI11" s="29">
        <v>0.244</v>
      </c>
      <c r="DJ11" s="29">
        <v>0.091</v>
      </c>
      <c r="DK11" s="29">
        <v>0.179</v>
      </c>
      <c r="DL11" s="72">
        <v>0.986</v>
      </c>
      <c r="DM11" s="72">
        <v>0.843</v>
      </c>
      <c r="DN11" s="72">
        <v>0.962</v>
      </c>
      <c r="DO11" s="72">
        <v>0.675</v>
      </c>
      <c r="DP11" s="146">
        <v>0.614</v>
      </c>
      <c r="DQ11" s="29"/>
      <c r="DR11" s="29"/>
      <c r="DS11" s="29"/>
      <c r="DT11" s="29"/>
      <c r="DU11" s="29"/>
      <c r="DZ11" s="147"/>
      <c r="EA11" s="148"/>
      <c r="EB11" s="149"/>
      <c r="EC11" s="150"/>
      <c r="ED11" s="151"/>
      <c r="EE11" s="152"/>
      <c r="EF11" s="83"/>
      <c r="EG11" s="153"/>
      <c r="EH11" s="83"/>
      <c r="EI11" s="154"/>
      <c r="EJ11" s="155"/>
      <c r="EK11" s="156"/>
      <c r="EL11" s="157"/>
      <c r="EM11" s="158"/>
      <c r="EN11" s="159"/>
      <c r="EO11" s="137"/>
      <c r="EP11" s="160"/>
      <c r="EQ11" s="161"/>
      <c r="ER11" s="162"/>
      <c r="ES11" s="163"/>
      <c r="ET11" s="138"/>
      <c r="EU11" s="164"/>
      <c r="EV11" s="51"/>
      <c r="EW11" s="51"/>
    </row>
    <row r="12">
      <c r="A12" s="52"/>
      <c r="B12" s="53" t="s">
        <v>345</v>
      </c>
      <c r="C12" s="25">
        <v>0.897</v>
      </c>
      <c r="D12" s="26" t="s">
        <v>346</v>
      </c>
      <c r="E12" s="26" t="s">
        <v>93</v>
      </c>
      <c r="F12" s="26" t="s">
        <v>347</v>
      </c>
      <c r="G12" s="26" t="s">
        <v>348</v>
      </c>
      <c r="H12" s="26">
        <v>0.702</v>
      </c>
      <c r="I12" s="26" t="s">
        <v>349</v>
      </c>
      <c r="J12" s="26" t="s">
        <v>194</v>
      </c>
      <c r="K12" s="26" t="s">
        <v>350</v>
      </c>
      <c r="L12" s="26" t="s">
        <v>73</v>
      </c>
      <c r="M12" s="26">
        <v>0.782</v>
      </c>
      <c r="N12" s="26" t="s">
        <v>147</v>
      </c>
      <c r="O12" s="26" t="s">
        <v>176</v>
      </c>
      <c r="P12" s="26" t="s">
        <v>351</v>
      </c>
      <c r="Q12" s="26" t="s">
        <v>352</v>
      </c>
      <c r="R12" s="26">
        <v>0.706</v>
      </c>
      <c r="S12" s="26" t="s">
        <v>187</v>
      </c>
      <c r="T12" s="26" t="s">
        <v>353</v>
      </c>
      <c r="U12" s="26" t="s">
        <v>354</v>
      </c>
      <c r="V12" s="26" t="s">
        <v>355</v>
      </c>
      <c r="W12" s="26">
        <v>0.885</v>
      </c>
      <c r="X12" s="26" t="s">
        <v>338</v>
      </c>
      <c r="Y12" s="26" t="s">
        <v>116</v>
      </c>
      <c r="Z12" s="26" t="s">
        <v>356</v>
      </c>
      <c r="AA12" s="26" t="s">
        <v>357</v>
      </c>
      <c r="AB12" s="26">
        <v>0.805</v>
      </c>
      <c r="AC12" s="26" t="s">
        <v>358</v>
      </c>
      <c r="AD12" s="26" t="s">
        <v>80</v>
      </c>
      <c r="AE12" s="26" t="s">
        <v>194</v>
      </c>
      <c r="AF12" s="27" t="s">
        <v>359</v>
      </c>
      <c r="AG12" s="26">
        <v>0.648</v>
      </c>
      <c r="AH12" s="26" t="s">
        <v>142</v>
      </c>
      <c r="AI12" s="26" t="s">
        <v>360</v>
      </c>
      <c r="AJ12" s="26">
        <v>0.148</v>
      </c>
      <c r="AK12" s="26" t="s">
        <v>361</v>
      </c>
      <c r="AL12" s="26" t="s">
        <v>362</v>
      </c>
      <c r="AM12" s="26">
        <v>0.431</v>
      </c>
      <c r="AN12" s="26" t="s">
        <v>363</v>
      </c>
      <c r="AO12" s="26" t="s">
        <v>364</v>
      </c>
      <c r="AP12" s="26">
        <v>0.279</v>
      </c>
      <c r="AQ12" s="26" t="s">
        <v>82</v>
      </c>
      <c r="AR12" s="26" t="s">
        <v>271</v>
      </c>
      <c r="AS12" s="26">
        <v>0.455</v>
      </c>
      <c r="AT12" s="26" t="s">
        <v>162</v>
      </c>
      <c r="AU12" s="26" t="s">
        <v>85</v>
      </c>
      <c r="AV12" s="165">
        <v>0.374</v>
      </c>
      <c r="AW12" s="26" t="s">
        <v>233</v>
      </c>
      <c r="AX12" s="26" t="s">
        <v>365</v>
      </c>
      <c r="AY12" s="31">
        <v>0.228</v>
      </c>
      <c r="AZ12" s="26" t="s">
        <v>229</v>
      </c>
      <c r="BA12" s="26" t="s">
        <v>199</v>
      </c>
      <c r="BB12" s="29"/>
      <c r="BC12" s="26" t="s">
        <v>366</v>
      </c>
      <c r="BD12" s="26" t="s">
        <v>367</v>
      </c>
      <c r="BE12" s="29"/>
      <c r="BF12" s="26" t="s">
        <v>368</v>
      </c>
      <c r="BG12" s="26" t="s">
        <v>367</v>
      </c>
      <c r="BH12" s="31">
        <v>0.376</v>
      </c>
      <c r="BI12" s="26" t="s">
        <v>369</v>
      </c>
      <c r="BJ12" s="26" t="s">
        <v>351</v>
      </c>
      <c r="BK12" s="31">
        <v>0.2</v>
      </c>
      <c r="BL12" s="31">
        <v>0.705</v>
      </c>
      <c r="BM12" s="31">
        <v>0.755</v>
      </c>
      <c r="BN12" s="29"/>
      <c r="BO12" s="29"/>
      <c r="BP12" s="29"/>
      <c r="BQ12" s="26"/>
      <c r="BR12" s="26"/>
      <c r="BS12" s="27"/>
      <c r="BT12" s="26">
        <v>0.916</v>
      </c>
      <c r="BU12" s="26" t="s">
        <v>162</v>
      </c>
      <c r="BV12" s="26" t="s">
        <v>370</v>
      </c>
      <c r="BW12" s="26" t="s">
        <v>121</v>
      </c>
      <c r="BX12" s="26" t="s">
        <v>371</v>
      </c>
      <c r="BY12" s="26">
        <v>0.956</v>
      </c>
      <c r="BZ12" s="26" t="s">
        <v>154</v>
      </c>
      <c r="CA12" s="26" t="s">
        <v>241</v>
      </c>
      <c r="CB12" s="26" t="s">
        <v>372</v>
      </c>
      <c r="CC12" s="26" t="s">
        <v>373</v>
      </c>
      <c r="CD12" s="26" t="s">
        <v>318</v>
      </c>
      <c r="CE12" s="26" t="s">
        <v>374</v>
      </c>
      <c r="CF12" s="26" t="s">
        <v>375</v>
      </c>
      <c r="CG12" s="26" t="s">
        <v>276</v>
      </c>
      <c r="CH12" s="31">
        <v>1.0</v>
      </c>
      <c r="CI12" s="31">
        <v>0.987</v>
      </c>
      <c r="CJ12" s="31">
        <v>0.996</v>
      </c>
      <c r="CK12" s="31">
        <v>0.911</v>
      </c>
      <c r="CL12" s="31">
        <v>0.701</v>
      </c>
      <c r="CM12" s="31">
        <v>0.689</v>
      </c>
      <c r="CN12" s="31">
        <v>0.72</v>
      </c>
      <c r="CO12" s="31">
        <v>0.353</v>
      </c>
      <c r="CP12" s="31">
        <v>0.108</v>
      </c>
      <c r="CQ12" s="28">
        <v>0.862</v>
      </c>
      <c r="CR12" s="29">
        <v>0.98</v>
      </c>
      <c r="CS12" s="29">
        <v>0.555</v>
      </c>
      <c r="CT12" s="29">
        <v>0.129</v>
      </c>
      <c r="CU12" s="29">
        <v>0.883</v>
      </c>
      <c r="CV12" s="29">
        <v>0.758</v>
      </c>
      <c r="CW12" s="29">
        <v>0.2</v>
      </c>
      <c r="CX12" s="29">
        <v>0.968</v>
      </c>
      <c r="CY12" s="29">
        <v>0.988</v>
      </c>
      <c r="CZ12" s="29">
        <v>0.801</v>
      </c>
      <c r="DA12" s="29">
        <v>0.462</v>
      </c>
      <c r="DB12" s="29">
        <v>0.933</v>
      </c>
      <c r="DC12" s="29">
        <v>0.865</v>
      </c>
      <c r="DD12" s="29">
        <v>0.501</v>
      </c>
      <c r="DE12" s="29">
        <v>0.751</v>
      </c>
      <c r="DF12" s="29">
        <v>0.92</v>
      </c>
      <c r="DG12" s="29">
        <v>0.558</v>
      </c>
      <c r="DH12" s="29">
        <v>0.272</v>
      </c>
      <c r="DI12" s="29">
        <v>0.494</v>
      </c>
      <c r="DJ12" s="29">
        <v>0.286</v>
      </c>
      <c r="DK12" s="29">
        <v>0.204</v>
      </c>
      <c r="DL12" s="29">
        <v>0.984</v>
      </c>
      <c r="DM12" s="29" t="s">
        <v>376</v>
      </c>
      <c r="DN12" s="29" t="s">
        <v>134</v>
      </c>
      <c r="DO12" s="29" t="s">
        <v>201</v>
      </c>
      <c r="DP12" s="32" t="s">
        <v>303</v>
      </c>
      <c r="DQ12" s="29">
        <v>0.36</v>
      </c>
      <c r="DR12" s="29">
        <v>0.734</v>
      </c>
      <c r="DS12" s="29">
        <v>0.881</v>
      </c>
      <c r="DT12" s="29">
        <v>0.452</v>
      </c>
      <c r="DU12" s="29">
        <v>0.251</v>
      </c>
      <c r="DZ12" s="147">
        <f t="shared" ref="DZ12:ED12" si="36">IFERROR(AVERAGE(IFERROR(VALUE(C12),""),IFERROR(VALUE(H12),""),IFERROR(VALUE(M12),""),IFERROR(VALUE(R12),""),IFERROR(VALUE(W12),""),IFERROR(VALUE(AB12),"")),"")</f>
        <v>0.7961666667</v>
      </c>
      <c r="EA12" s="148">
        <f t="shared" si="36"/>
        <v>0.772</v>
      </c>
      <c r="EB12" s="149">
        <f t="shared" si="36"/>
        <v>0.6865</v>
      </c>
      <c r="EC12" s="150">
        <f t="shared" si="36"/>
        <v>0.5233333333</v>
      </c>
      <c r="ED12" s="151">
        <f t="shared" si="36"/>
        <v>0.192</v>
      </c>
      <c r="EE12" s="152">
        <f t="shared" ref="EE12:EG12" si="37">IFERROR(AVERAGE(IFERROR(VALUE(AG12),""),IFERROR(VALUE(AJ12),""),IFERROR(VALUE(AM12),""),IFERROR(VALUE(AP12),""),IFERROR(VALUE(AS12),"")),"")</f>
        <v>0.3922</v>
      </c>
      <c r="EF12" s="83">
        <f t="shared" si="37"/>
        <v>0.6866</v>
      </c>
      <c r="EG12" s="153">
        <f t="shared" si="37"/>
        <v>0.6</v>
      </c>
      <c r="EH12" s="83">
        <v>0.667</v>
      </c>
      <c r="EI12" s="154">
        <v>0.74</v>
      </c>
      <c r="EJ12" s="155">
        <f t="shared" ref="EJ12:EJ16" si="43">IFERROR(AVERAGE(IFERROR(VALUE(BT12),""),IFERROR(VALUE(BY12),""),IFERROR(VALUE(CH12),"")),"")</f>
        <v>0.9573333333</v>
      </c>
      <c r="EK12" s="156">
        <f t="shared" ref="EK12:EK16" si="44">IFERROR(AVERAGE(IFERROR(VALUE(BZ12),""),IFERROR(VALUE(CD12),""),IFERROR(VALUE(CI12),""),IFERROR(VALUE(CM12),"")),"")</f>
        <v>0.79525</v>
      </c>
      <c r="EL12" s="157">
        <f t="shared" ref="EL12:EL16" si="45">IFERROR(AVERAGE(IFERROR(VALUE(CA12),""),IFERROR(VALUE(CE12),""),IFERROR(VALUE(CJ12),""), IFERROR(VALUE(CN12),"")),"")</f>
        <v>0.7925</v>
      </c>
      <c r="EM12" s="158">
        <f t="shared" ref="EM12:EM16" si="46">IFERROR(AVERAGE(IFERROR(VALUE(CB12),""),IFERROR(VALUE(CF12),""),IFERROR(VALUE(CK12),""),IFERROR(VALUE(CO12),"")),"")</f>
        <v>0.54525</v>
      </c>
      <c r="EN12" s="159">
        <f t="shared" ref="EN12:EN16" si="47">IFERROR(AVERAGE(IFERROR(VALUE(CC12),""),IFERROR(VALUE(CG12),""),IFERROR(VALUE(CL12),""), IFERROR(VALUE(CP12),"")),"")</f>
        <v>0.30175</v>
      </c>
      <c r="EO12" s="137">
        <v>0.984</v>
      </c>
      <c r="EP12" s="160">
        <f t="shared" ref="EP12:EQ12" si="38">IFERROR(AVERAGE(IFERROR(VALUE(CQ12),""),IFERROR(VALUE(CX12),""),IFERROR(VALUE(DE12),""),IFERROR(VALUE(DM12),"")),"")</f>
        <v>0.87425</v>
      </c>
      <c r="EQ12" s="161">
        <f t="shared" si="38"/>
        <v>0.9565</v>
      </c>
      <c r="ER12" s="162">
        <f t="shared" ref="ER12:ES12" si="39">IFERROR(AVERAGE(IFERROR(VALUE(CU12),""),IFERROR(VALUE(DB12),""),IFERROR(VALUE(DI12),""),IFERROR(VALUE(DO12),"")),"")</f>
        <v>0.75075</v>
      </c>
      <c r="ES12" s="163">
        <f t="shared" si="39"/>
        <v>0.6295</v>
      </c>
      <c r="ET12" s="138">
        <f t="shared" ref="ET12:EU12" si="40">IFERROR(AVERAGE(IFERROR(VALUE(CS12),""),IFERROR(VALUE(CZ12),""),IFERROR(VALUE(DG12),"")),"")</f>
        <v>0.638</v>
      </c>
      <c r="EU12" s="164">
        <f t="shared" si="40"/>
        <v>0.2876666667</v>
      </c>
      <c r="EV12" s="51">
        <v>0.708</v>
      </c>
      <c r="EW12" s="51"/>
    </row>
    <row r="13">
      <c r="A13" s="166"/>
      <c r="B13" s="167" t="s">
        <v>377</v>
      </c>
      <c r="C13" s="25">
        <v>0.831</v>
      </c>
      <c r="D13" s="26" t="s">
        <v>378</v>
      </c>
      <c r="E13" s="26" t="s">
        <v>379</v>
      </c>
      <c r="F13" s="26" t="s">
        <v>380</v>
      </c>
      <c r="G13" s="26" t="s">
        <v>381</v>
      </c>
      <c r="H13" s="26">
        <v>0.792</v>
      </c>
      <c r="I13" s="26" t="s">
        <v>382</v>
      </c>
      <c r="J13" s="26" t="s">
        <v>383</v>
      </c>
      <c r="K13" s="26" t="s">
        <v>71</v>
      </c>
      <c r="L13" s="26" t="s">
        <v>384</v>
      </c>
      <c r="M13" s="26">
        <v>0.628</v>
      </c>
      <c r="N13" s="26" t="s">
        <v>385</v>
      </c>
      <c r="O13" s="26" t="s">
        <v>386</v>
      </c>
      <c r="P13" s="26" t="s">
        <v>315</v>
      </c>
      <c r="Q13" s="26" t="s">
        <v>210</v>
      </c>
      <c r="R13" s="26">
        <v>0.605</v>
      </c>
      <c r="S13" s="26" t="s">
        <v>137</v>
      </c>
      <c r="T13" s="26" t="s">
        <v>387</v>
      </c>
      <c r="U13" s="26" t="s">
        <v>388</v>
      </c>
      <c r="V13" s="26" t="s">
        <v>389</v>
      </c>
      <c r="W13" s="26">
        <v>0.928</v>
      </c>
      <c r="X13" s="26" t="s">
        <v>390</v>
      </c>
      <c r="Y13" s="26" t="s">
        <v>391</v>
      </c>
      <c r="Z13" s="26" t="s">
        <v>263</v>
      </c>
      <c r="AA13" s="26" t="s">
        <v>392</v>
      </c>
      <c r="AB13" s="26">
        <v>0.823</v>
      </c>
      <c r="AC13" s="26" t="s">
        <v>393</v>
      </c>
      <c r="AD13" s="26" t="s">
        <v>394</v>
      </c>
      <c r="AE13" s="26" t="s">
        <v>143</v>
      </c>
      <c r="AF13" s="27" t="s">
        <v>357</v>
      </c>
      <c r="AG13" s="26">
        <v>0.61</v>
      </c>
      <c r="AH13" s="26" t="s">
        <v>78</v>
      </c>
      <c r="AI13" s="26" t="s">
        <v>395</v>
      </c>
      <c r="AJ13" s="26">
        <v>0.149</v>
      </c>
      <c r="AK13" s="26" t="s">
        <v>396</v>
      </c>
      <c r="AL13" s="26" t="s">
        <v>397</v>
      </c>
      <c r="AM13" s="26">
        <v>0.464</v>
      </c>
      <c r="AN13" s="26" t="s">
        <v>398</v>
      </c>
      <c r="AO13" s="26" t="s">
        <v>399</v>
      </c>
      <c r="AP13" s="26">
        <v>0.252</v>
      </c>
      <c r="AQ13" s="26" t="s">
        <v>400</v>
      </c>
      <c r="AR13" s="26" t="s">
        <v>87</v>
      </c>
      <c r="AS13" s="26">
        <v>0.365</v>
      </c>
      <c r="AT13" s="26" t="s">
        <v>401</v>
      </c>
      <c r="AU13" s="26" t="s">
        <v>402</v>
      </c>
      <c r="AV13" s="28">
        <v>0.236</v>
      </c>
      <c r="AW13" s="29">
        <v>0.686</v>
      </c>
      <c r="AX13" s="29">
        <v>0.987</v>
      </c>
      <c r="AY13" s="29">
        <v>0.132</v>
      </c>
      <c r="AZ13" s="29">
        <v>0.626</v>
      </c>
      <c r="BA13" s="29">
        <v>0.885</v>
      </c>
      <c r="BB13" s="29">
        <v>0.341</v>
      </c>
      <c r="BC13" s="29">
        <v>0.803</v>
      </c>
      <c r="BD13" s="29">
        <v>0.809</v>
      </c>
      <c r="BE13" s="29">
        <v>0.374</v>
      </c>
      <c r="BF13" s="29">
        <v>0.595</v>
      </c>
      <c r="BG13" s="29">
        <v>0.568</v>
      </c>
      <c r="BH13" s="29">
        <v>0.183</v>
      </c>
      <c r="BI13" s="29">
        <v>0.512</v>
      </c>
      <c r="BJ13" s="29">
        <v>0.488</v>
      </c>
      <c r="BK13" s="29">
        <v>0.203</v>
      </c>
      <c r="BL13" s="29">
        <v>0.713</v>
      </c>
      <c r="BM13" s="29">
        <v>0.835</v>
      </c>
      <c r="BN13" s="29">
        <v>0.16</v>
      </c>
      <c r="BO13" s="29">
        <v>0.658</v>
      </c>
      <c r="BP13" s="29">
        <v>0.812</v>
      </c>
      <c r="BQ13" s="26"/>
      <c r="BR13" s="26"/>
      <c r="BS13" s="27"/>
      <c r="BT13" s="26">
        <v>0.912</v>
      </c>
      <c r="BU13" s="26" t="s">
        <v>151</v>
      </c>
      <c r="BV13" s="26" t="s">
        <v>403</v>
      </c>
      <c r="BW13" s="26" t="s">
        <v>404</v>
      </c>
      <c r="BX13" s="26" t="s">
        <v>405</v>
      </c>
      <c r="BY13" s="26">
        <v>0.918</v>
      </c>
      <c r="BZ13" s="26" t="s">
        <v>195</v>
      </c>
      <c r="CA13" s="26" t="s">
        <v>406</v>
      </c>
      <c r="CB13" s="26" t="s">
        <v>407</v>
      </c>
      <c r="CC13" s="26" t="s">
        <v>408</v>
      </c>
      <c r="CD13" s="26" t="s">
        <v>409</v>
      </c>
      <c r="CE13" s="26" t="s">
        <v>410</v>
      </c>
      <c r="CF13" s="26" t="s">
        <v>169</v>
      </c>
      <c r="CG13" s="26" t="s">
        <v>411</v>
      </c>
      <c r="CH13" s="29">
        <v>0.9959100204</v>
      </c>
      <c r="CI13" s="29">
        <v>0.9592156915</v>
      </c>
      <c r="CJ13" s="29">
        <v>0.9961656442</v>
      </c>
      <c r="CK13" s="29">
        <v>0.8963838071</v>
      </c>
      <c r="CL13" s="29">
        <v>0.6951252874</v>
      </c>
      <c r="CM13" s="31">
        <v>0.561</v>
      </c>
      <c r="CN13" s="31">
        <v>0.489</v>
      </c>
      <c r="CO13" s="31">
        <v>0.206</v>
      </c>
      <c r="CP13" s="31">
        <v>0.032</v>
      </c>
      <c r="CQ13" s="28">
        <v>0.785</v>
      </c>
      <c r="CR13" s="29">
        <v>0.89</v>
      </c>
      <c r="CS13" s="29">
        <v>0.5</v>
      </c>
      <c r="CT13" s="29">
        <v>0.09</v>
      </c>
      <c r="CU13" s="29">
        <v>0.673</v>
      </c>
      <c r="CV13" s="29">
        <v>0.449</v>
      </c>
      <c r="CW13" s="29">
        <v>0.21</v>
      </c>
      <c r="CX13" s="29">
        <v>0.953</v>
      </c>
      <c r="CY13" s="29">
        <v>0.98</v>
      </c>
      <c r="CZ13" s="29">
        <v>0.847</v>
      </c>
      <c r="DA13" s="29">
        <v>0.572</v>
      </c>
      <c r="DB13" s="29">
        <v>0.892</v>
      </c>
      <c r="DC13" s="29">
        <v>0.792</v>
      </c>
      <c r="DD13" s="29">
        <v>0.649</v>
      </c>
      <c r="DE13" s="29">
        <v>0.695</v>
      </c>
      <c r="DF13" s="29">
        <v>0.834</v>
      </c>
      <c r="DG13" s="29">
        <v>0.57</v>
      </c>
      <c r="DH13" s="29">
        <v>0.275</v>
      </c>
      <c r="DI13" s="29">
        <v>0.322</v>
      </c>
      <c r="DJ13" s="29">
        <v>0.146</v>
      </c>
      <c r="DK13" s="29">
        <v>0.288</v>
      </c>
      <c r="DL13" s="29">
        <v>0.973</v>
      </c>
      <c r="DM13" s="29" t="s">
        <v>237</v>
      </c>
      <c r="DN13" s="29" t="s">
        <v>215</v>
      </c>
      <c r="DO13" s="29" t="s">
        <v>135</v>
      </c>
      <c r="DP13" s="32" t="s">
        <v>412</v>
      </c>
      <c r="DQ13" s="29">
        <v>0.465</v>
      </c>
      <c r="DR13" s="29">
        <v>0.715</v>
      </c>
      <c r="DS13" s="29">
        <v>0.785</v>
      </c>
      <c r="DT13" s="29">
        <v>0.389</v>
      </c>
      <c r="DU13" s="29">
        <v>0.203</v>
      </c>
      <c r="DZ13" s="168">
        <f t="shared" ref="DZ13:ED13" si="41">IFERROR(AVERAGE(IFERROR(VALUE(C13),""),IFERROR(VALUE(H13),""),IFERROR(VALUE(M13),""),IFERROR(VALUE(R13),""),IFERROR(VALUE(W13),""),IFERROR(VALUE(AB13),"")),"")</f>
        <v>0.7678333333</v>
      </c>
      <c r="EA13" s="169">
        <f t="shared" si="41"/>
        <v>0.7585</v>
      </c>
      <c r="EB13" s="170">
        <f t="shared" si="41"/>
        <v>0.644</v>
      </c>
      <c r="EC13" s="83">
        <f t="shared" si="41"/>
        <v>0.4775</v>
      </c>
      <c r="ED13" s="171">
        <f t="shared" si="41"/>
        <v>0.1791666667</v>
      </c>
      <c r="EE13" s="172">
        <f t="shared" ref="EE13:EG13" si="42">IFERROR(AVERAGE(IFERROR(VALUE(AG13),""),IFERROR(VALUE(AJ13),""),IFERROR(VALUE(AM13),""),IFERROR(VALUE(AP13),""),IFERROR(VALUE(AS13),"")),"")</f>
        <v>0.368</v>
      </c>
      <c r="EF13" s="41">
        <f t="shared" si="42"/>
        <v>0.674</v>
      </c>
      <c r="EG13" s="173">
        <f t="shared" si="42"/>
        <v>0.6018</v>
      </c>
      <c r="EH13" s="42">
        <v>0.644</v>
      </c>
      <c r="EI13" s="151">
        <v>0.747</v>
      </c>
      <c r="EJ13" s="174">
        <f t="shared" si="43"/>
        <v>0.9419700068</v>
      </c>
      <c r="EK13" s="41">
        <f t="shared" si="44"/>
        <v>0.7578039229</v>
      </c>
      <c r="EL13" s="83">
        <f t="shared" si="45"/>
        <v>0.7555414111</v>
      </c>
      <c r="EM13" s="83">
        <f t="shared" si="46"/>
        <v>0.4928459518</v>
      </c>
      <c r="EN13" s="175">
        <f t="shared" si="47"/>
        <v>0.2882813219</v>
      </c>
      <c r="EO13" s="176">
        <v>0.973</v>
      </c>
      <c r="EP13" s="177">
        <f t="shared" ref="EP13:EQ13" si="48">IFERROR(AVERAGE(IFERROR(VALUE(CQ13),""),IFERROR(VALUE(CX13),""),IFERROR(VALUE(DE13),""),IFERROR(VALUE(DM13),"")),"")</f>
        <v>0.83425</v>
      </c>
      <c r="EQ13" s="34">
        <f t="shared" si="48"/>
        <v>0.91325</v>
      </c>
      <c r="ER13" s="178">
        <f t="shared" ref="ER13:ES13" si="49">IFERROR(AVERAGE(IFERROR(VALUE(CU13),""),IFERROR(VALUE(DB13),""),IFERROR(VALUE(DI13),""),IFERROR(VALUE(DO13),"")),"")</f>
        <v>0.65175</v>
      </c>
      <c r="ES13" s="48">
        <f t="shared" si="49"/>
        <v>0.5125</v>
      </c>
      <c r="ET13" s="179">
        <f t="shared" ref="ET13:EU13" si="50">IFERROR(AVERAGE(IFERROR(VALUE(CS13),""),IFERROR(VALUE(CZ13),""),IFERROR(VALUE(DG13),"")),"")</f>
        <v>0.639</v>
      </c>
      <c r="EU13" s="79">
        <f t="shared" si="50"/>
        <v>0.3123333333</v>
      </c>
      <c r="EV13" s="51">
        <v>0.703</v>
      </c>
      <c r="EW13" s="51"/>
    </row>
    <row r="14">
      <c r="A14" s="180" t="s">
        <v>413</v>
      </c>
      <c r="B14" s="24" t="s">
        <v>414</v>
      </c>
      <c r="C14" s="181">
        <v>0.708</v>
      </c>
      <c r="D14" s="182" t="s">
        <v>415</v>
      </c>
      <c r="E14" s="182" t="s">
        <v>416</v>
      </c>
      <c r="F14" s="182" t="s">
        <v>417</v>
      </c>
      <c r="G14" s="182" t="s">
        <v>152</v>
      </c>
      <c r="H14" s="182">
        <v>0.235</v>
      </c>
      <c r="I14" s="182" t="s">
        <v>194</v>
      </c>
      <c r="J14" s="182" t="s">
        <v>418</v>
      </c>
      <c r="K14" s="182" t="s">
        <v>419</v>
      </c>
      <c r="L14" s="182" t="s">
        <v>420</v>
      </c>
      <c r="M14" s="182">
        <v>0.732</v>
      </c>
      <c r="N14" s="182" t="s">
        <v>128</v>
      </c>
      <c r="O14" s="182" t="s">
        <v>421</v>
      </c>
      <c r="P14" s="182" t="s">
        <v>422</v>
      </c>
      <c r="Q14" s="182" t="s">
        <v>423</v>
      </c>
      <c r="R14" s="182">
        <v>0.566</v>
      </c>
      <c r="S14" s="182" t="s">
        <v>198</v>
      </c>
      <c r="T14" s="182" t="s">
        <v>424</v>
      </c>
      <c r="U14" s="182" t="s">
        <v>425</v>
      </c>
      <c r="V14" s="182" t="s">
        <v>426</v>
      </c>
      <c r="W14" s="182">
        <v>0.799</v>
      </c>
      <c r="X14" s="182" t="s">
        <v>94</v>
      </c>
      <c r="Y14" s="182" t="s">
        <v>427</v>
      </c>
      <c r="Z14" s="182" t="s">
        <v>428</v>
      </c>
      <c r="AA14" s="182" t="s">
        <v>429</v>
      </c>
      <c r="AB14" s="182">
        <v>0.868</v>
      </c>
      <c r="AC14" s="182" t="s">
        <v>430</v>
      </c>
      <c r="AD14" s="182" t="s">
        <v>431</v>
      </c>
      <c r="AE14" s="182" t="s">
        <v>307</v>
      </c>
      <c r="AF14" s="183" t="s">
        <v>432</v>
      </c>
      <c r="AG14" s="182">
        <v>0.343</v>
      </c>
      <c r="AH14" s="182" t="s">
        <v>137</v>
      </c>
      <c r="AI14" s="182" t="s">
        <v>214</v>
      </c>
      <c r="AJ14" s="182">
        <v>0.06</v>
      </c>
      <c r="AK14" s="182" t="s">
        <v>119</v>
      </c>
      <c r="AL14" s="182" t="s">
        <v>433</v>
      </c>
      <c r="AM14" s="182">
        <v>0.398</v>
      </c>
      <c r="AN14" s="182" t="s">
        <v>434</v>
      </c>
      <c r="AO14" s="182" t="s">
        <v>435</v>
      </c>
      <c r="AP14" s="182">
        <v>0.145</v>
      </c>
      <c r="AQ14" s="182" t="s">
        <v>436</v>
      </c>
      <c r="AR14" s="182" t="s">
        <v>311</v>
      </c>
      <c r="AS14" s="182">
        <v>0.285</v>
      </c>
      <c r="AT14" s="182" t="s">
        <v>323</v>
      </c>
      <c r="AU14" s="182" t="s">
        <v>437</v>
      </c>
      <c r="AV14" s="184">
        <v>0.115</v>
      </c>
      <c r="AW14" s="182" t="s">
        <v>402</v>
      </c>
      <c r="AX14" s="182" t="s">
        <v>302</v>
      </c>
      <c r="AY14" s="185">
        <v>0.045</v>
      </c>
      <c r="AZ14" s="182" t="s">
        <v>438</v>
      </c>
      <c r="BA14" s="182" t="s">
        <v>439</v>
      </c>
      <c r="BB14" s="185">
        <v>0.054</v>
      </c>
      <c r="BC14" s="182" t="s">
        <v>440</v>
      </c>
      <c r="BD14" s="182" t="s">
        <v>193</v>
      </c>
      <c r="BE14" s="185">
        <v>0.181</v>
      </c>
      <c r="BF14" s="182" t="s">
        <v>289</v>
      </c>
      <c r="BG14" s="182" t="s">
        <v>356</v>
      </c>
      <c r="BH14" s="185">
        <v>0.087</v>
      </c>
      <c r="BI14" s="182" t="s">
        <v>303</v>
      </c>
      <c r="BJ14" s="182" t="s">
        <v>164</v>
      </c>
      <c r="BK14" s="185">
        <v>0.115</v>
      </c>
      <c r="BL14" s="185">
        <v>0.701</v>
      </c>
      <c r="BM14" s="185">
        <v>0.736</v>
      </c>
      <c r="BN14" s="185">
        <v>0.087</v>
      </c>
      <c r="BO14" s="185">
        <v>0.725</v>
      </c>
      <c r="BP14" s="185">
        <v>0.721</v>
      </c>
      <c r="BQ14" s="182"/>
      <c r="BR14" s="182"/>
      <c r="BS14" s="183"/>
      <c r="BT14" s="182">
        <v>0.892</v>
      </c>
      <c r="BU14" s="182" t="s">
        <v>441</v>
      </c>
      <c r="BV14" s="182" t="s">
        <v>244</v>
      </c>
      <c r="BW14" s="182" t="s">
        <v>138</v>
      </c>
      <c r="BX14" s="182" t="s">
        <v>442</v>
      </c>
      <c r="BY14" s="182">
        <v>0.909</v>
      </c>
      <c r="BZ14" s="182" t="s">
        <v>443</v>
      </c>
      <c r="CA14" s="182" t="s">
        <v>444</v>
      </c>
      <c r="CB14" s="182" t="s">
        <v>445</v>
      </c>
      <c r="CC14" s="182" t="s">
        <v>57</v>
      </c>
      <c r="CD14" s="182" t="s">
        <v>238</v>
      </c>
      <c r="CE14" s="182" t="s">
        <v>446</v>
      </c>
      <c r="CF14" s="182" t="s">
        <v>447</v>
      </c>
      <c r="CG14" s="182" t="s">
        <v>448</v>
      </c>
      <c r="CH14" s="185">
        <v>0.9877300613</v>
      </c>
      <c r="CI14" s="185">
        <v>0.9664810554</v>
      </c>
      <c r="CJ14" s="185">
        <v>0.9746932515</v>
      </c>
      <c r="CK14" s="185">
        <v>0.8629190686</v>
      </c>
      <c r="CL14" s="185">
        <v>0.6243669771</v>
      </c>
      <c r="CM14" s="186">
        <v>0.611</v>
      </c>
      <c r="CN14" s="186">
        <v>0.535</v>
      </c>
      <c r="CO14" s="186">
        <v>0.27</v>
      </c>
      <c r="CP14" s="186">
        <v>0.074</v>
      </c>
      <c r="CQ14" s="184">
        <v>0.758</v>
      </c>
      <c r="CR14" s="185">
        <v>0.755</v>
      </c>
      <c r="CS14" s="185">
        <v>0.506</v>
      </c>
      <c r="CT14" s="185">
        <v>0.117</v>
      </c>
      <c r="CU14" s="185">
        <v>0.485</v>
      </c>
      <c r="CV14" s="185">
        <v>0.327</v>
      </c>
      <c r="CW14" s="185">
        <v>0.225</v>
      </c>
      <c r="CX14" s="185">
        <v>0.821</v>
      </c>
      <c r="CY14" s="185">
        <v>0.808</v>
      </c>
      <c r="CZ14" s="185">
        <v>0.627</v>
      </c>
      <c r="DA14" s="185">
        <v>0.226</v>
      </c>
      <c r="DB14" s="185">
        <v>0.584</v>
      </c>
      <c r="DC14" s="185">
        <v>0.362</v>
      </c>
      <c r="DD14" s="185">
        <v>0.29</v>
      </c>
      <c r="DE14" s="185">
        <v>0.651</v>
      </c>
      <c r="DF14" s="185">
        <v>0.661</v>
      </c>
      <c r="DG14" s="185">
        <v>0.492</v>
      </c>
      <c r="DH14" s="185">
        <v>0.1</v>
      </c>
      <c r="DI14" s="185">
        <v>0.272</v>
      </c>
      <c r="DJ14" s="185">
        <v>0.133</v>
      </c>
      <c r="DK14" s="185">
        <v>0.109</v>
      </c>
      <c r="DL14" s="185">
        <v>0.966</v>
      </c>
      <c r="DM14" s="185" t="s">
        <v>449</v>
      </c>
      <c r="DN14" s="185" t="s">
        <v>450</v>
      </c>
      <c r="DO14" s="185" t="s">
        <v>437</v>
      </c>
      <c r="DP14" s="187" t="s">
        <v>133</v>
      </c>
      <c r="DQ14" s="185">
        <v>0.218</v>
      </c>
      <c r="DR14" s="185">
        <v>0.646</v>
      </c>
      <c r="DS14" s="185">
        <v>0.584</v>
      </c>
      <c r="DT14" s="185">
        <v>0.223</v>
      </c>
      <c r="DU14" s="185">
        <v>0.09</v>
      </c>
      <c r="DV14" s="188"/>
      <c r="DW14" s="188"/>
      <c r="DX14" s="188"/>
      <c r="DY14" s="188"/>
      <c r="DZ14" s="189">
        <f t="shared" ref="DZ14:ED14" si="51">IFERROR(AVERAGE(IFERROR(VALUE(C14),""),IFERROR(VALUE(H14),""),IFERROR(VALUE(M14),""),IFERROR(VALUE(R14),""),IFERROR(VALUE(W14),""),IFERROR(VALUE(AB14),"")),"")</f>
        <v>0.6513333333</v>
      </c>
      <c r="EA14" s="190">
        <f t="shared" si="51"/>
        <v>0.7206666667</v>
      </c>
      <c r="EB14" s="191">
        <f t="shared" si="51"/>
        <v>0.517</v>
      </c>
      <c r="EC14" s="192">
        <f t="shared" si="51"/>
        <v>0.4856666667</v>
      </c>
      <c r="ED14" s="193">
        <f t="shared" si="51"/>
        <v>0.268</v>
      </c>
      <c r="EE14" s="194">
        <f t="shared" ref="EE14:EG14" si="52">IFERROR(AVERAGE(IFERROR(VALUE(AG14),""),IFERROR(VALUE(AJ14),""),IFERROR(VALUE(AM14),""),IFERROR(VALUE(AP14),""),IFERROR(VALUE(AS14),"")),"")</f>
        <v>0.2462</v>
      </c>
      <c r="EF14" s="195">
        <f t="shared" si="52"/>
        <v>0.6698</v>
      </c>
      <c r="EG14" s="196">
        <f t="shared" si="52"/>
        <v>0.5176</v>
      </c>
      <c r="EH14" s="195">
        <v>0.655</v>
      </c>
      <c r="EI14" s="197">
        <v>0.687</v>
      </c>
      <c r="EJ14" s="198">
        <f t="shared" si="43"/>
        <v>0.9295766871</v>
      </c>
      <c r="EK14" s="195">
        <f t="shared" si="44"/>
        <v>0.7596202639</v>
      </c>
      <c r="EL14" s="199">
        <f t="shared" si="45"/>
        <v>0.7016733129</v>
      </c>
      <c r="EM14" s="195">
        <f t="shared" si="46"/>
        <v>0.4812297672</v>
      </c>
      <c r="EN14" s="200">
        <f t="shared" si="47"/>
        <v>0.2688417443</v>
      </c>
      <c r="EO14" s="201">
        <v>0.966</v>
      </c>
      <c r="EP14" s="190">
        <f t="shared" ref="EP14:EQ14" si="53">IFERROR(AVERAGE(IFERROR(VALUE(CQ14),""),IFERROR(VALUE(CX14),""),IFERROR(VALUE(DE14),""),IFERROR(VALUE(DM14),"")),"")</f>
        <v>0.76325</v>
      </c>
      <c r="EQ14" s="202">
        <f t="shared" si="53"/>
        <v>0.79025</v>
      </c>
      <c r="ER14" s="203">
        <f t="shared" ref="ER14:ES14" si="54">IFERROR(AVERAGE(IFERROR(VALUE(CU14),""),IFERROR(VALUE(DB14),""),IFERROR(VALUE(DI14),""),IFERROR(VALUE(DO14),"")),"")</f>
        <v>0.48075</v>
      </c>
      <c r="ES14" s="204">
        <f t="shared" si="54"/>
        <v>0.32575</v>
      </c>
      <c r="ET14" s="205">
        <f t="shared" ref="ET14:EU14" si="55">IFERROR(AVERAGE(IFERROR(VALUE(CS14),""),IFERROR(VALUE(CZ14),""),IFERROR(VALUE(DG14),"")),"")</f>
        <v>0.5416666667</v>
      </c>
      <c r="EU14" s="206">
        <f t="shared" si="55"/>
        <v>0.1476666667</v>
      </c>
      <c r="EV14" s="207">
        <v>0.61</v>
      </c>
      <c r="EW14" s="207">
        <v>0.098</v>
      </c>
    </row>
    <row r="15">
      <c r="A15" s="52"/>
      <c r="B15" s="142" t="s">
        <v>451</v>
      </c>
      <c r="C15" s="25">
        <v>0.906</v>
      </c>
      <c r="D15" s="26" t="s">
        <v>251</v>
      </c>
      <c r="E15" s="26" t="s">
        <v>232</v>
      </c>
      <c r="F15" s="26" t="s">
        <v>452</v>
      </c>
      <c r="G15" s="26" t="s">
        <v>453</v>
      </c>
      <c r="H15" s="26">
        <v>0.78</v>
      </c>
      <c r="I15" s="26" t="s">
        <v>454</v>
      </c>
      <c r="J15" s="26" t="s">
        <v>167</v>
      </c>
      <c r="K15" s="26" t="s">
        <v>455</v>
      </c>
      <c r="L15" s="26" t="s">
        <v>456</v>
      </c>
      <c r="M15" s="26">
        <v>0.752</v>
      </c>
      <c r="N15" s="26" t="s">
        <v>201</v>
      </c>
      <c r="O15" s="26" t="s">
        <v>367</v>
      </c>
      <c r="P15" s="26" t="s">
        <v>457</v>
      </c>
      <c r="Q15" s="26" t="s">
        <v>388</v>
      </c>
      <c r="R15" s="26">
        <v>0.633</v>
      </c>
      <c r="S15" s="26" t="s">
        <v>259</v>
      </c>
      <c r="T15" s="26" t="s">
        <v>458</v>
      </c>
      <c r="U15" s="26" t="s">
        <v>459</v>
      </c>
      <c r="V15" s="26" t="s">
        <v>460</v>
      </c>
      <c r="W15" s="26">
        <v>0.921</v>
      </c>
      <c r="X15" s="26" t="s">
        <v>283</v>
      </c>
      <c r="Y15" s="26" t="s">
        <v>132</v>
      </c>
      <c r="Z15" s="26" t="s">
        <v>375</v>
      </c>
      <c r="AA15" s="26" t="s">
        <v>442</v>
      </c>
      <c r="AB15" s="26">
        <v>0.723</v>
      </c>
      <c r="AC15" s="26" t="s">
        <v>251</v>
      </c>
      <c r="AD15" s="26" t="s">
        <v>87</v>
      </c>
      <c r="AE15" s="26" t="s">
        <v>62</v>
      </c>
      <c r="AF15" s="27" t="s">
        <v>178</v>
      </c>
      <c r="AG15" s="26">
        <v>0.501</v>
      </c>
      <c r="AH15" s="26" t="s">
        <v>443</v>
      </c>
      <c r="AI15" s="26" t="s">
        <v>461</v>
      </c>
      <c r="AJ15" s="26">
        <v>0.12</v>
      </c>
      <c r="AK15" s="26" t="s">
        <v>244</v>
      </c>
      <c r="AL15" s="26" t="s">
        <v>217</v>
      </c>
      <c r="AM15" s="26">
        <v>0.486</v>
      </c>
      <c r="AN15" s="26" t="s">
        <v>265</v>
      </c>
      <c r="AO15" s="26" t="s">
        <v>462</v>
      </c>
      <c r="AP15" s="26">
        <v>0.258</v>
      </c>
      <c r="AQ15" s="26" t="s">
        <v>78</v>
      </c>
      <c r="AR15" s="26" t="s">
        <v>139</v>
      </c>
      <c r="AS15" s="26">
        <v>0.459</v>
      </c>
      <c r="AT15" s="26" t="s">
        <v>241</v>
      </c>
      <c r="AU15" s="26" t="s">
        <v>463</v>
      </c>
      <c r="AV15" s="28">
        <v>0.283</v>
      </c>
      <c r="AW15" s="26" t="s">
        <v>464</v>
      </c>
      <c r="AX15" s="26" t="s">
        <v>465</v>
      </c>
      <c r="AY15" s="29">
        <v>0.128</v>
      </c>
      <c r="AZ15" s="26" t="s">
        <v>198</v>
      </c>
      <c r="BA15" s="26" t="s">
        <v>466</v>
      </c>
      <c r="BB15" s="29">
        <v>0.263</v>
      </c>
      <c r="BC15" s="26" t="s">
        <v>246</v>
      </c>
      <c r="BD15" s="26" t="s">
        <v>452</v>
      </c>
      <c r="BE15" s="29">
        <v>0.454</v>
      </c>
      <c r="BF15" s="26" t="s">
        <v>464</v>
      </c>
      <c r="BG15" s="26" t="s">
        <v>167</v>
      </c>
      <c r="BH15" s="29">
        <v>0.383</v>
      </c>
      <c r="BI15" s="26" t="s">
        <v>467</v>
      </c>
      <c r="BJ15" s="26" t="s">
        <v>468</v>
      </c>
      <c r="BK15" s="29">
        <v>0.231</v>
      </c>
      <c r="BL15" s="29">
        <v>0.759</v>
      </c>
      <c r="BM15" s="29">
        <v>0.843</v>
      </c>
      <c r="BN15" s="29">
        <v>0.212</v>
      </c>
      <c r="BO15" s="30">
        <v>0.738</v>
      </c>
      <c r="BP15" s="30">
        <v>0.837</v>
      </c>
      <c r="BQ15" s="26"/>
      <c r="BR15" s="72"/>
      <c r="BS15" s="146"/>
      <c r="BT15" s="26">
        <v>0.914</v>
      </c>
      <c r="BU15" s="26" t="s">
        <v>469</v>
      </c>
      <c r="BV15" s="26" t="s">
        <v>331</v>
      </c>
      <c r="BW15" s="26" t="s">
        <v>164</v>
      </c>
      <c r="BX15" s="26" t="s">
        <v>470</v>
      </c>
      <c r="BY15" s="26">
        <v>0.94</v>
      </c>
      <c r="BZ15" s="26" t="s">
        <v>464</v>
      </c>
      <c r="CA15" s="26" t="s">
        <v>91</v>
      </c>
      <c r="CB15" s="26" t="s">
        <v>72</v>
      </c>
      <c r="CC15" s="26" t="s">
        <v>68</v>
      </c>
      <c r="CD15" s="26" t="s">
        <v>471</v>
      </c>
      <c r="CE15" s="26" t="s">
        <v>82</v>
      </c>
      <c r="CF15" s="26" t="s">
        <v>332</v>
      </c>
      <c r="CG15" s="26" t="s">
        <v>472</v>
      </c>
      <c r="CH15" s="29">
        <v>0.9913087935</v>
      </c>
      <c r="CI15" s="29">
        <v>0.9637194789</v>
      </c>
      <c r="CJ15" s="29">
        <v>0.98900818</v>
      </c>
      <c r="CK15" s="29">
        <v>0.903314342</v>
      </c>
      <c r="CL15" s="29">
        <v>0.6834013812</v>
      </c>
      <c r="CM15" s="31">
        <v>0.717</v>
      </c>
      <c r="CN15" s="31">
        <v>0.726</v>
      </c>
      <c r="CO15" s="31">
        <v>0.443</v>
      </c>
      <c r="CP15" s="31">
        <v>0.183</v>
      </c>
      <c r="CQ15" s="28">
        <v>0.784</v>
      </c>
      <c r="CR15" s="29">
        <v>0.93</v>
      </c>
      <c r="CS15" s="29">
        <v>0.532</v>
      </c>
      <c r="CT15" s="29">
        <v>0.199</v>
      </c>
      <c r="CU15" s="29">
        <v>0.606</v>
      </c>
      <c r="CV15" s="29">
        <v>0.381</v>
      </c>
      <c r="CW15" s="29">
        <v>0.14</v>
      </c>
      <c r="CX15" s="29">
        <v>0.935</v>
      </c>
      <c r="CY15" s="29">
        <v>0.978</v>
      </c>
      <c r="CZ15" s="29">
        <v>0.73</v>
      </c>
      <c r="DA15" s="29">
        <v>0.325</v>
      </c>
      <c r="DB15" s="29">
        <v>0.894</v>
      </c>
      <c r="DC15" s="29">
        <v>0.797</v>
      </c>
      <c r="DD15" s="29">
        <v>0.346</v>
      </c>
      <c r="DE15" s="29">
        <v>0.634</v>
      </c>
      <c r="DF15" s="29">
        <v>0.824</v>
      </c>
      <c r="DG15" s="29">
        <v>0.557</v>
      </c>
      <c r="DH15" s="29">
        <v>0.334</v>
      </c>
      <c r="DI15" s="29">
        <v>0.291</v>
      </c>
      <c r="DJ15" s="29">
        <v>0.112</v>
      </c>
      <c r="DK15" s="29">
        <v>0.361</v>
      </c>
      <c r="DL15" s="29">
        <v>0.982</v>
      </c>
      <c r="DM15" s="29" t="s">
        <v>454</v>
      </c>
      <c r="DN15" s="29" t="s">
        <v>473</v>
      </c>
      <c r="DO15" s="29" t="s">
        <v>474</v>
      </c>
      <c r="DP15" s="32" t="s">
        <v>262</v>
      </c>
      <c r="DQ15" s="29">
        <v>0.535</v>
      </c>
      <c r="DR15" s="29">
        <v>0.661</v>
      </c>
      <c r="DS15" s="29">
        <v>0.848</v>
      </c>
      <c r="DT15" s="29">
        <v>0.304</v>
      </c>
      <c r="DU15" s="29">
        <v>0.128</v>
      </c>
      <c r="DZ15" s="208">
        <f t="shared" ref="DZ15:ED15" si="56">IFERROR(AVERAGE(IFERROR(VALUE(C15),""),IFERROR(VALUE(H15),""),IFERROR(VALUE(M15),""),IFERROR(VALUE(R15),""),IFERROR(VALUE(W15),""),IFERROR(VALUE(AB15),"")),"")</f>
        <v>0.7858333333</v>
      </c>
      <c r="EA15" s="70">
        <f t="shared" si="56"/>
        <v>0.7993333333</v>
      </c>
      <c r="EB15" s="209">
        <f t="shared" si="56"/>
        <v>0.7183333333</v>
      </c>
      <c r="EC15" s="134">
        <f t="shared" si="56"/>
        <v>0.5633333333</v>
      </c>
      <c r="ED15" s="210">
        <f t="shared" si="56"/>
        <v>0.2831666667</v>
      </c>
      <c r="EE15" s="211">
        <f t="shared" ref="EE15:EG15" si="57">IFERROR(AVERAGE(IFERROR(VALUE(AG15),""),IFERROR(VALUE(AJ15),""),IFERROR(VALUE(AM15),""),IFERROR(VALUE(AP15),""),IFERROR(VALUE(AS15),"")),"")</f>
        <v>0.3648</v>
      </c>
      <c r="EF15" s="212">
        <f t="shared" si="57"/>
        <v>0.6952</v>
      </c>
      <c r="EG15" s="39">
        <f t="shared" si="57"/>
        <v>0.6196</v>
      </c>
      <c r="EH15" s="177">
        <v>0.704</v>
      </c>
      <c r="EI15" s="213">
        <v>0.829</v>
      </c>
      <c r="EJ15" s="214">
        <f t="shared" si="43"/>
        <v>0.9484362645</v>
      </c>
      <c r="EK15" s="215">
        <f t="shared" si="44"/>
        <v>0.8064298697</v>
      </c>
      <c r="EL15" s="216">
        <f t="shared" si="45"/>
        <v>0.791002045</v>
      </c>
      <c r="EM15" s="217">
        <f t="shared" si="46"/>
        <v>0.5675785855</v>
      </c>
      <c r="EN15" s="218">
        <f t="shared" si="47"/>
        <v>0.3271003453</v>
      </c>
      <c r="EO15" s="219">
        <v>0.982</v>
      </c>
      <c r="EP15" s="220">
        <f t="shared" ref="EP15:EQ15" si="58">IFERROR(AVERAGE(IFERROR(VALUE(CQ15),""),IFERROR(VALUE(CX15),""),IFERROR(VALUE(DE15),""),IFERROR(VALUE(DM15),"")),"")</f>
        <v>0.81625</v>
      </c>
      <c r="EQ15" s="221">
        <f t="shared" si="58"/>
        <v>0.921</v>
      </c>
      <c r="ER15" s="222">
        <f t="shared" ref="ER15:ES15" si="59">IFERROR(AVERAGE(IFERROR(VALUE(CU15),""),IFERROR(VALUE(DB15),""),IFERROR(VALUE(DI15),""),IFERROR(VALUE(DO15),"")),"")</f>
        <v>0.628</v>
      </c>
      <c r="ES15" s="150">
        <f t="shared" si="59"/>
        <v>0.48925</v>
      </c>
      <c r="ET15" s="223">
        <f t="shared" ref="ET15:EU15" si="60">IFERROR(AVERAGE(IFERROR(VALUE(CS15),""),IFERROR(VALUE(CZ15),""),IFERROR(VALUE(DG15),"")),"")</f>
        <v>0.6063333333</v>
      </c>
      <c r="EU15" s="164">
        <f t="shared" si="60"/>
        <v>0.286</v>
      </c>
      <c r="EV15" s="51">
        <v>0.683</v>
      </c>
      <c r="EW15" s="51">
        <v>0.279</v>
      </c>
    </row>
    <row r="16">
      <c r="B16" s="224" t="s">
        <v>475</v>
      </c>
      <c r="C16" s="26">
        <v>0.9</v>
      </c>
      <c r="D16" s="26" t="s">
        <v>190</v>
      </c>
      <c r="E16" s="26" t="s">
        <v>476</v>
      </c>
      <c r="F16" s="26" t="s">
        <v>186</v>
      </c>
      <c r="G16" s="26" t="s">
        <v>477</v>
      </c>
      <c r="H16" s="26">
        <v>0.772</v>
      </c>
      <c r="I16" s="26" t="s">
        <v>478</v>
      </c>
      <c r="J16" s="26" t="s">
        <v>479</v>
      </c>
      <c r="K16" s="26" t="s">
        <v>366</v>
      </c>
      <c r="L16" s="26" t="s">
        <v>252</v>
      </c>
      <c r="M16" s="26">
        <v>0.75</v>
      </c>
      <c r="N16" s="26" t="s">
        <v>58</v>
      </c>
      <c r="O16" s="26" t="s">
        <v>194</v>
      </c>
      <c r="P16" s="26" t="s">
        <v>294</v>
      </c>
      <c r="Q16" s="26" t="s">
        <v>442</v>
      </c>
      <c r="R16" s="26">
        <v>0.649</v>
      </c>
      <c r="S16" s="26" t="s">
        <v>410</v>
      </c>
      <c r="T16" s="26" t="s">
        <v>299</v>
      </c>
      <c r="U16" s="26" t="s">
        <v>207</v>
      </c>
      <c r="V16" s="26" t="s">
        <v>480</v>
      </c>
      <c r="W16" s="26">
        <v>0.899</v>
      </c>
      <c r="X16" s="26" t="s">
        <v>452</v>
      </c>
      <c r="Y16" s="26" t="s">
        <v>115</v>
      </c>
      <c r="Z16" s="26" t="s">
        <v>481</v>
      </c>
      <c r="AA16" s="26" t="s">
        <v>482</v>
      </c>
      <c r="AB16" s="26">
        <v>0.83</v>
      </c>
      <c r="AC16" s="26" t="s">
        <v>461</v>
      </c>
      <c r="AD16" s="26" t="s">
        <v>378</v>
      </c>
      <c r="AE16" s="26" t="s">
        <v>483</v>
      </c>
      <c r="AF16" s="26" t="s">
        <v>272</v>
      </c>
      <c r="AG16" s="26">
        <v>0.528</v>
      </c>
      <c r="AH16" s="26" t="s">
        <v>484</v>
      </c>
      <c r="AI16" s="26" t="s">
        <v>485</v>
      </c>
      <c r="AJ16" s="26">
        <v>0.129</v>
      </c>
      <c r="AK16" s="26" t="s">
        <v>236</v>
      </c>
      <c r="AL16" s="26" t="s">
        <v>486</v>
      </c>
      <c r="AM16" s="26">
        <v>0.505</v>
      </c>
      <c r="AN16" s="26" t="s">
        <v>487</v>
      </c>
      <c r="AO16" s="26" t="s">
        <v>488</v>
      </c>
      <c r="AP16" s="26">
        <v>0.166</v>
      </c>
      <c r="AQ16" s="26" t="s">
        <v>63</v>
      </c>
      <c r="AR16" s="26" t="s">
        <v>489</v>
      </c>
      <c r="AS16" s="26">
        <v>0.482</v>
      </c>
      <c r="AT16" s="26" t="s">
        <v>490</v>
      </c>
      <c r="AU16" s="26" t="s">
        <v>150</v>
      </c>
      <c r="AV16" s="29">
        <v>0.276</v>
      </c>
      <c r="AW16" s="26" t="s">
        <v>439</v>
      </c>
      <c r="AX16" s="26" t="s">
        <v>491</v>
      </c>
      <c r="AY16" s="29">
        <v>0.137</v>
      </c>
      <c r="AZ16" s="26" t="s">
        <v>347</v>
      </c>
      <c r="BA16" s="26" t="s">
        <v>492</v>
      </c>
      <c r="BB16" s="29">
        <v>0.273</v>
      </c>
      <c r="BC16" s="26" t="s">
        <v>403</v>
      </c>
      <c r="BD16" s="26" t="s">
        <v>493</v>
      </c>
      <c r="BE16" s="29">
        <v>0.473</v>
      </c>
      <c r="BF16" s="26" t="s">
        <v>268</v>
      </c>
      <c r="BG16" s="26" t="s">
        <v>366</v>
      </c>
      <c r="BH16" s="29">
        <v>0.375</v>
      </c>
      <c r="BI16" s="26" t="s">
        <v>494</v>
      </c>
      <c r="BJ16" s="26" t="s">
        <v>318</v>
      </c>
      <c r="BK16" s="29">
        <v>0.22</v>
      </c>
      <c r="BL16" s="30">
        <v>0.749</v>
      </c>
      <c r="BM16" s="30">
        <v>0.848</v>
      </c>
      <c r="BN16" s="29">
        <v>0.196</v>
      </c>
      <c r="BO16" s="30">
        <v>0.77</v>
      </c>
      <c r="BP16" s="30">
        <v>0.851</v>
      </c>
      <c r="BQ16" s="26"/>
      <c r="BR16" s="26"/>
      <c r="BS16" s="26"/>
      <c r="BT16" s="26">
        <v>0.932</v>
      </c>
      <c r="BU16" s="26" t="s">
        <v>158</v>
      </c>
      <c r="BV16" s="26" t="s">
        <v>495</v>
      </c>
      <c r="BW16" s="26" t="s">
        <v>289</v>
      </c>
      <c r="BX16" s="26" t="s">
        <v>496</v>
      </c>
      <c r="BY16" s="26">
        <v>0.962</v>
      </c>
      <c r="BZ16" s="26" t="s">
        <v>150</v>
      </c>
      <c r="CA16" s="26" t="s">
        <v>497</v>
      </c>
      <c r="CB16" s="26" t="s">
        <v>498</v>
      </c>
      <c r="CC16" s="26" t="s">
        <v>499</v>
      </c>
      <c r="CD16" s="26" t="s">
        <v>500</v>
      </c>
      <c r="CE16" s="26" t="s">
        <v>303</v>
      </c>
      <c r="CF16" s="26" t="s">
        <v>437</v>
      </c>
      <c r="CG16" s="26" t="s">
        <v>217</v>
      </c>
      <c r="CH16" s="29">
        <v>0.9933537832</v>
      </c>
      <c r="CI16" s="29">
        <v>0.9872838721</v>
      </c>
      <c r="CJ16" s="29">
        <v>0.9915644172</v>
      </c>
      <c r="CK16" s="29">
        <v>0.9213359746</v>
      </c>
      <c r="CL16" s="29">
        <v>0.7710512126</v>
      </c>
      <c r="CM16" s="225">
        <v>0.748</v>
      </c>
      <c r="CN16" s="31">
        <v>0.746</v>
      </c>
      <c r="CO16" s="31">
        <v>0.444</v>
      </c>
      <c r="CP16" s="31">
        <v>0.166</v>
      </c>
      <c r="CQ16" s="29">
        <v>0.786</v>
      </c>
      <c r="CR16" s="29">
        <v>0.905</v>
      </c>
      <c r="CS16" s="29">
        <v>0.546</v>
      </c>
      <c r="CT16" s="29">
        <v>0.233</v>
      </c>
      <c r="CU16" s="29">
        <v>0.635</v>
      </c>
      <c r="CV16" s="29">
        <v>0.379</v>
      </c>
      <c r="CW16" s="29">
        <v>0.273</v>
      </c>
      <c r="CX16" s="29">
        <v>0.951</v>
      </c>
      <c r="CY16" s="29">
        <v>0.978</v>
      </c>
      <c r="CZ16" s="29">
        <v>0.776</v>
      </c>
      <c r="DA16" s="29">
        <v>0.412</v>
      </c>
      <c r="DB16" s="29">
        <v>0.878</v>
      </c>
      <c r="DC16" s="29">
        <v>0.771</v>
      </c>
      <c r="DD16" s="29">
        <v>0.496</v>
      </c>
      <c r="DE16" s="29">
        <v>0.646</v>
      </c>
      <c r="DF16" s="29">
        <v>0.85</v>
      </c>
      <c r="DG16" s="29">
        <v>0.567</v>
      </c>
      <c r="DH16" s="29">
        <v>0.364</v>
      </c>
      <c r="DI16" s="29">
        <v>0.304</v>
      </c>
      <c r="DJ16" s="29">
        <v>0.146</v>
      </c>
      <c r="DK16" s="29">
        <v>0.372</v>
      </c>
      <c r="DL16" s="29">
        <v>0.984</v>
      </c>
      <c r="DM16" s="29" t="s">
        <v>501</v>
      </c>
      <c r="DN16" s="29" t="s">
        <v>502</v>
      </c>
      <c r="DO16" s="29" t="s">
        <v>293</v>
      </c>
      <c r="DP16" s="29" t="s">
        <v>135</v>
      </c>
      <c r="DQ16" s="29">
        <v>0.578</v>
      </c>
      <c r="DR16" s="29">
        <v>0.661</v>
      </c>
      <c r="DS16" s="29">
        <v>0.848</v>
      </c>
      <c r="DT16" s="29">
        <v>0.364</v>
      </c>
      <c r="DU16" s="29">
        <v>0.192</v>
      </c>
      <c r="DZ16" s="149">
        <f t="shared" ref="DZ16:ED16" si="61">IFERROR(AVERAGE(IFERROR(VALUE(C16),""),IFERROR(VALUE(H16),""),IFERROR(VALUE(M16),""),IFERROR(VALUE(R16),""),IFERROR(VALUE(W16),""),IFERROR(VALUE(AB16),"")),"")</f>
        <v>0.8</v>
      </c>
      <c r="EA16" s="226">
        <f t="shared" si="61"/>
        <v>0.8093333333</v>
      </c>
      <c r="EB16" s="227">
        <f t="shared" si="61"/>
        <v>0.7108333333</v>
      </c>
      <c r="EC16" s="130">
        <f t="shared" si="61"/>
        <v>0.5843333333</v>
      </c>
      <c r="ED16" s="228">
        <f t="shared" si="61"/>
        <v>0.3175</v>
      </c>
      <c r="EE16" s="229">
        <f t="shared" ref="EE16:EG16" si="62">IFERROR(AVERAGE(IFERROR(VALUE(AG16),""),IFERROR(VALUE(AJ16),""),IFERROR(VALUE(AM16),""),IFERROR(VALUE(AP16),""),IFERROR(VALUE(AS16),"")),"")</f>
        <v>0.362</v>
      </c>
      <c r="EF16" s="230">
        <f t="shared" si="62"/>
        <v>0.7124</v>
      </c>
      <c r="EG16" s="170">
        <f t="shared" si="62"/>
        <v>0.6154</v>
      </c>
      <c r="EH16" s="98">
        <v>0.707</v>
      </c>
      <c r="EI16" s="169">
        <v>0.842</v>
      </c>
      <c r="EJ16" s="139">
        <f t="shared" si="43"/>
        <v>0.9624512611</v>
      </c>
      <c r="EK16" s="139">
        <f t="shared" si="44"/>
        <v>0.829820968</v>
      </c>
      <c r="EL16" s="139">
        <f t="shared" si="45"/>
        <v>0.8128911043</v>
      </c>
      <c r="EM16" s="139">
        <f t="shared" si="46"/>
        <v>0.5820839937</v>
      </c>
      <c r="EN16" s="130">
        <f t="shared" si="47"/>
        <v>0.3575128032</v>
      </c>
      <c r="EO16" s="231">
        <v>0.984</v>
      </c>
      <c r="EP16" s="232">
        <f t="shared" ref="EP16:EQ16" si="63">IFERROR(AVERAGE(IFERROR(VALUE(CQ16),""),IFERROR(VALUE(CX16),""),IFERROR(VALUE(DE16),""),IFERROR(VALUE(DM16),"")),"")</f>
        <v>0.8245</v>
      </c>
      <c r="EQ16" s="233">
        <f t="shared" si="63"/>
        <v>0.92175</v>
      </c>
      <c r="ER16" s="234">
        <f t="shared" ref="ER16:ES16" si="64">IFERROR(AVERAGE(IFERROR(VALUE(CU16),""),IFERROR(VALUE(DB16),""),IFERROR(VALUE(DI16),""),IFERROR(VALUE(DO16),"")),"")</f>
        <v>0.6435</v>
      </c>
      <c r="ES16" s="235">
        <f t="shared" si="64"/>
        <v>0.504</v>
      </c>
      <c r="ET16" s="236">
        <f t="shared" ref="ET16:EU16" si="65">IFERROR(AVERAGE(IFERROR(VALUE(CS16),""),IFERROR(VALUE(CZ16),""),IFERROR(VALUE(DG16),"")),"")</f>
        <v>0.6296666667</v>
      </c>
      <c r="EU16" s="237">
        <f t="shared" si="65"/>
        <v>0.3363333333</v>
      </c>
      <c r="EV16" s="51">
        <v>0.688</v>
      </c>
      <c r="EW16" s="51">
        <v>0.279</v>
      </c>
    </row>
    <row r="17">
      <c r="A17" s="145"/>
      <c r="B17" s="20" t="s">
        <v>503</v>
      </c>
      <c r="C17" s="145">
        <v>0.917</v>
      </c>
      <c r="D17" s="4">
        <v>0.9310232441984547</v>
      </c>
      <c r="E17" s="4">
        <v>0.8731563421828908</v>
      </c>
      <c r="F17" s="4">
        <v>0.7927392704786917</v>
      </c>
      <c r="G17" s="4">
        <v>0.5638750868692811</v>
      </c>
      <c r="H17" s="4">
        <v>0.782</v>
      </c>
      <c r="I17" s="4">
        <v>0.9175455471290203</v>
      </c>
      <c r="J17" s="4">
        <v>0.7746128318584071</v>
      </c>
      <c r="K17" s="4">
        <v>0.7763598094173378</v>
      </c>
      <c r="L17" s="4">
        <v>0.3454691583439483</v>
      </c>
      <c r="M17" s="4">
        <v>0.741</v>
      </c>
      <c r="N17" s="4">
        <v>0.6903046127905347</v>
      </c>
      <c r="O17" s="4">
        <v>0.6756320602474448</v>
      </c>
      <c r="P17" s="4">
        <v>0.3905703066197297</v>
      </c>
      <c r="Q17" s="4">
        <v>0.2186667816972917</v>
      </c>
      <c r="R17" s="4">
        <v>0.637</v>
      </c>
      <c r="S17" s="4">
        <v>0.6396049350921273</v>
      </c>
      <c r="T17" s="4">
        <v>0.4555</v>
      </c>
      <c r="U17" s="4">
        <v>0.212811215519647</v>
      </c>
      <c r="V17" s="4">
        <v>0.1179656506462842</v>
      </c>
      <c r="W17" s="4">
        <v>0.906</v>
      </c>
      <c r="X17" s="4">
        <v>0.736563003113342</v>
      </c>
      <c r="Y17" s="4">
        <v>0.7985611510791367</v>
      </c>
      <c r="Z17" s="4">
        <v>0.434330074535052</v>
      </c>
      <c r="AA17" s="4">
        <v>0.1573306173917261</v>
      </c>
      <c r="AB17" s="4">
        <v>0.728</v>
      </c>
      <c r="AC17" s="4">
        <v>0.8847567419825073</v>
      </c>
      <c r="AD17" s="4">
        <v>0.6725</v>
      </c>
      <c r="AE17" s="4">
        <v>0.6971283340288187</v>
      </c>
      <c r="AF17" s="238">
        <v>0.2498512003174393</v>
      </c>
      <c r="AG17" s="4">
        <v>0.513</v>
      </c>
      <c r="AH17" s="4">
        <v>0.6916577177333231</v>
      </c>
      <c r="AI17" s="4">
        <v>0.9228486646884273</v>
      </c>
      <c r="AJ17" s="4">
        <v>0.098</v>
      </c>
      <c r="AK17" s="4">
        <v>0.7333719236404158</v>
      </c>
      <c r="AL17" s="4">
        <v>0.2392241379310345</v>
      </c>
      <c r="AM17" s="4">
        <v>0.457</v>
      </c>
      <c r="AN17" s="4">
        <v>0.5177548401967264</v>
      </c>
      <c r="AO17" s="4">
        <v>0.4708860759493671</v>
      </c>
      <c r="AP17" s="4">
        <v>0.215</v>
      </c>
      <c r="AQ17" s="4" t="s">
        <v>410</v>
      </c>
      <c r="AR17" s="4" t="s">
        <v>55</v>
      </c>
      <c r="AS17" s="4">
        <v>0.489</v>
      </c>
      <c r="AT17" s="4">
        <v>0.8798156966944097</v>
      </c>
      <c r="AU17" s="4">
        <v>0.7302089930335656</v>
      </c>
      <c r="AV17" s="145"/>
      <c r="AW17" s="4">
        <v>0.7209203096266077</v>
      </c>
      <c r="AX17" s="4">
        <v>0.9868599909379248</v>
      </c>
      <c r="AY17" s="4"/>
      <c r="AZ17" s="4">
        <v>0.6137167815248857</v>
      </c>
      <c r="BA17" s="4">
        <v>0.8369108209780926</v>
      </c>
      <c r="BB17" s="4"/>
      <c r="BC17" s="4">
        <v>0.8308294723907068</v>
      </c>
      <c r="BD17" s="4">
        <v>0.7601890756302521</v>
      </c>
      <c r="BE17" s="4"/>
      <c r="BF17" s="4">
        <v>0.7264129914000336</v>
      </c>
      <c r="BG17" s="4">
        <v>0.7328385899814471</v>
      </c>
      <c r="BH17" s="4"/>
      <c r="BI17" s="4">
        <v>0.5469283887256469</v>
      </c>
      <c r="BJ17" s="4">
        <v>0.7797619047619048</v>
      </c>
      <c r="BK17" s="4"/>
      <c r="BL17" s="4">
        <v>0.7426075274383807</v>
      </c>
      <c r="BM17" s="4">
        <v>0.8416327783319266</v>
      </c>
      <c r="BN17" s="4"/>
      <c r="BO17" s="4">
        <v>0.742</v>
      </c>
      <c r="BP17" s="4">
        <v>0.836</v>
      </c>
      <c r="BQ17" s="4"/>
      <c r="BR17" s="4"/>
      <c r="BS17" s="238"/>
      <c r="BT17" s="4"/>
      <c r="BU17" s="4"/>
      <c r="BV17" s="4"/>
      <c r="BW17" s="4"/>
      <c r="BX17" s="4"/>
      <c r="BY17" s="4"/>
      <c r="BZ17" s="352">
        <v>0.719741</v>
      </c>
      <c r="CA17" s="352">
        <v>0.88521</v>
      </c>
      <c r="CB17" s="352">
        <v>0.361152</v>
      </c>
      <c r="CC17" s="352">
        <v>0.217563</v>
      </c>
      <c r="CD17" s="352">
        <v>0.83348</v>
      </c>
      <c r="CE17" s="352">
        <v>0.586517</v>
      </c>
      <c r="CF17" s="352">
        <v>0.566414</v>
      </c>
      <c r="CG17" s="352">
        <v>0.228589</v>
      </c>
      <c r="CH17" s="4"/>
      <c r="CI17" s="352">
        <v>0.982772</v>
      </c>
      <c r="CJ17" s="352">
        <v>0.993354</v>
      </c>
      <c r="CK17" s="352">
        <v>0.893742</v>
      </c>
      <c r="CL17" s="352">
        <v>0.67893</v>
      </c>
      <c r="CM17" s="352">
        <v>0.72436</v>
      </c>
      <c r="CN17" s="352">
        <v>0.711394</v>
      </c>
      <c r="CO17" s="352">
        <v>0.427892</v>
      </c>
      <c r="CP17" s="352">
        <v>0.166275</v>
      </c>
      <c r="CQ17" s="352">
        <v>0.781427</v>
      </c>
      <c r="CR17" s="352">
        <v>0.92</v>
      </c>
      <c r="CS17" s="352">
        <v>0.781427</v>
      </c>
      <c r="CT17" s="352">
        <v>0.92</v>
      </c>
      <c r="CU17" s="352">
        <v>0.677208</v>
      </c>
      <c r="CV17" s="352">
        <v>0.467977</v>
      </c>
      <c r="CW17" s="4"/>
      <c r="CX17" s="352">
        <v>0.928403</v>
      </c>
      <c r="CY17" s="352">
        <v>0.977887</v>
      </c>
      <c r="CZ17" s="352">
        <v>0.928403</v>
      </c>
      <c r="DA17" s="352">
        <v>0.977887</v>
      </c>
      <c r="DB17" s="352">
        <v>0.852306</v>
      </c>
      <c r="DC17" s="352">
        <v>0.700324</v>
      </c>
      <c r="DD17" s="4"/>
      <c r="DE17" s="352">
        <v>0.624311</v>
      </c>
      <c r="DF17" s="352">
        <v>0.782748</v>
      </c>
      <c r="DG17" s="352">
        <v>0.624311</v>
      </c>
      <c r="DH17" s="352">
        <v>0.782748</v>
      </c>
      <c r="DI17" s="352">
        <v>0.255715</v>
      </c>
      <c r="DJ17" s="352">
        <v>0.098927</v>
      </c>
      <c r="DK17" s="4"/>
      <c r="DL17" s="4"/>
      <c r="DM17" s="352">
        <v>0.912562</v>
      </c>
      <c r="DN17" s="352">
        <v>0.946465</v>
      </c>
      <c r="DO17" s="352">
        <v>0.743494</v>
      </c>
      <c r="DP17" s="352">
        <v>0.676367</v>
      </c>
      <c r="DQ17" s="4"/>
      <c r="DR17" s="352">
        <v>0.64647</v>
      </c>
      <c r="DS17" s="352">
        <v>0.805281</v>
      </c>
      <c r="DT17" s="352">
        <v>0.276302</v>
      </c>
      <c r="DU17" s="352">
        <v>0.116237</v>
      </c>
      <c r="DV17" s="4"/>
      <c r="DW17" s="4"/>
      <c r="DX17" s="4"/>
      <c r="DY17" s="4"/>
      <c r="DZ17" s="94">
        <f t="shared" ref="DZ17:ED17" si="66">IFERROR(AVERAGE(IFERROR(VALUE(C17),""),IFERROR(VALUE(H17),""),IFERROR(VALUE(M17),""),IFERROR(VALUE(R17),""),IFERROR(VALUE(W17),""),IFERROR(VALUE(AB17),"")),"")</f>
        <v>0.7851666667</v>
      </c>
      <c r="EA17" s="353">
        <f t="shared" si="66"/>
        <v>0.7999663474</v>
      </c>
      <c r="EB17" s="354">
        <f t="shared" si="66"/>
        <v>0.7083270642</v>
      </c>
      <c r="EC17" s="156">
        <f t="shared" si="66"/>
        <v>0.5506565018</v>
      </c>
      <c r="ED17" s="355">
        <f t="shared" si="66"/>
        <v>0.2755264159</v>
      </c>
      <c r="EE17" s="44">
        <f t="shared" ref="EE17:EG17" si="67">IFERROR(AVERAGE(IFERROR(VALUE(AG17),""),IFERROR(VALUE(AJ17),""),IFERROR(VALUE(AM17),""),IFERROR(VALUE(AP17),""),IFERROR(VALUE(AS17),"")),"")</f>
        <v>0.3544</v>
      </c>
      <c r="EF17" s="83">
        <f t="shared" si="67"/>
        <v>0.6935200356</v>
      </c>
      <c r="EG17" s="171">
        <f t="shared" si="67"/>
        <v>0.6054335743</v>
      </c>
      <c r="EH17" s="5"/>
      <c r="EI17" s="20"/>
      <c r="EJ17" s="145"/>
      <c r="EK17" s="245"/>
      <c r="EL17" s="246"/>
      <c r="EM17" s="247"/>
      <c r="EN17" s="248"/>
      <c r="EO17" s="145"/>
      <c r="EP17" s="4"/>
      <c r="EQ17" s="4"/>
      <c r="ER17" s="4"/>
      <c r="ES17" s="4"/>
      <c r="ET17" s="5"/>
      <c r="EU17" s="20"/>
      <c r="EV17" s="5"/>
      <c r="EW17" s="5"/>
    </row>
    <row r="18">
      <c r="A18" s="145"/>
      <c r="B18" s="20" t="s">
        <v>525</v>
      </c>
      <c r="C18" s="145">
        <v>0.903</v>
      </c>
      <c r="D18" s="4" t="s">
        <v>526</v>
      </c>
      <c r="E18" s="4" t="s">
        <v>86</v>
      </c>
      <c r="F18" s="4" t="s">
        <v>527</v>
      </c>
      <c r="G18" s="4" t="s">
        <v>255</v>
      </c>
      <c r="H18" s="4">
        <v>0.775</v>
      </c>
      <c r="I18" s="4" t="s">
        <v>528</v>
      </c>
      <c r="J18" s="4" t="s">
        <v>140</v>
      </c>
      <c r="K18" s="4" t="s">
        <v>104</v>
      </c>
      <c r="L18" s="4" t="s">
        <v>72</v>
      </c>
      <c r="M18" s="4">
        <v>0.741</v>
      </c>
      <c r="N18" s="4" t="s">
        <v>484</v>
      </c>
      <c r="O18" s="4" t="s">
        <v>412</v>
      </c>
      <c r="P18" s="4" t="s">
        <v>488</v>
      </c>
      <c r="Q18" s="4" t="s">
        <v>472</v>
      </c>
      <c r="R18" s="4">
        <v>0.632</v>
      </c>
      <c r="S18" s="4" t="s">
        <v>259</v>
      </c>
      <c r="T18" s="4" t="s">
        <v>182</v>
      </c>
      <c r="U18" s="4" t="s">
        <v>161</v>
      </c>
      <c r="V18" s="4" t="s">
        <v>529</v>
      </c>
      <c r="W18" s="4">
        <v>0.921</v>
      </c>
      <c r="X18" s="4" t="s">
        <v>77</v>
      </c>
      <c r="Y18" s="4" t="s">
        <v>116</v>
      </c>
      <c r="Z18" s="4" t="s">
        <v>467</v>
      </c>
      <c r="AA18" s="4" t="s">
        <v>530</v>
      </c>
      <c r="AB18" s="4">
        <v>0.762</v>
      </c>
      <c r="AC18" s="4" t="s">
        <v>531</v>
      </c>
      <c r="AD18" s="4" t="s">
        <v>143</v>
      </c>
      <c r="AE18" s="4" t="s">
        <v>62</v>
      </c>
      <c r="AF18" s="238" t="s">
        <v>178</v>
      </c>
      <c r="AG18" s="4">
        <v>0.522</v>
      </c>
      <c r="AH18" s="4" t="s">
        <v>117</v>
      </c>
      <c r="AI18" s="4" t="s">
        <v>163</v>
      </c>
      <c r="AJ18" s="4">
        <v>0.105</v>
      </c>
      <c r="AK18" s="4" t="s">
        <v>135</v>
      </c>
      <c r="AL18" s="4" t="s">
        <v>532</v>
      </c>
      <c r="AM18" s="4">
        <v>0.424</v>
      </c>
      <c r="AN18" s="4" t="s">
        <v>533</v>
      </c>
      <c r="AO18" s="4" t="s">
        <v>534</v>
      </c>
      <c r="AP18" s="4">
        <v>0.256</v>
      </c>
      <c r="AQ18" s="4" t="s">
        <v>164</v>
      </c>
      <c r="AR18" s="4" t="s">
        <v>535</v>
      </c>
      <c r="AS18" s="4">
        <v>0.458</v>
      </c>
      <c r="AT18" s="4" t="s">
        <v>536</v>
      </c>
      <c r="AU18" s="4" t="s">
        <v>479</v>
      </c>
      <c r="AV18" s="145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238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145"/>
      <c r="CR18" s="4"/>
      <c r="CS18" s="4"/>
      <c r="CT18" s="4"/>
      <c r="CU18" s="4"/>
      <c r="CV18" s="4"/>
      <c r="CW18" s="4">
        <v>0.26</v>
      </c>
      <c r="CX18" s="4"/>
      <c r="CY18" s="4"/>
      <c r="CZ18" s="4"/>
      <c r="DA18" s="4"/>
      <c r="DB18" s="4"/>
      <c r="DC18" s="4"/>
      <c r="DD18" s="4">
        <v>0.514</v>
      </c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238"/>
      <c r="DQ18" s="4"/>
      <c r="DR18" s="4"/>
      <c r="DS18" s="4"/>
      <c r="DT18" s="4"/>
      <c r="DU18" s="4"/>
      <c r="DV18" s="4"/>
      <c r="DW18" s="4"/>
      <c r="DX18" s="4"/>
      <c r="DY18" s="4"/>
      <c r="DZ18" s="356">
        <f t="shared" ref="DZ18:ED18" si="68">IFERROR(AVERAGE(IFERROR(VALUE(C18),""),IFERROR(VALUE(H18),""),IFERROR(VALUE(M18),""),IFERROR(VALUE(R18),""),IFERROR(VALUE(W18),""),IFERROR(VALUE(AB18),"")),"")</f>
        <v>0.789</v>
      </c>
      <c r="EA18" s="160">
        <f t="shared" si="68"/>
        <v>0.8065</v>
      </c>
      <c r="EB18" s="357">
        <f t="shared" si="68"/>
        <v>0.7041666667</v>
      </c>
      <c r="EC18" s="134">
        <f t="shared" si="68"/>
        <v>0.5785</v>
      </c>
      <c r="ED18" s="358">
        <f t="shared" si="68"/>
        <v>0.318</v>
      </c>
      <c r="EE18" s="256">
        <f t="shared" ref="EE18:EG18" si="69">IFERROR(AVERAGE(IFERROR(VALUE(AG18),""),IFERROR(VALUE(AJ18),""),IFERROR(VALUE(AM18),""),IFERROR(VALUE(AP18),""),IFERROR(VALUE(AS18),"")),"")</f>
        <v>0.353</v>
      </c>
      <c r="EF18" s="34">
        <f t="shared" si="69"/>
        <v>0.694</v>
      </c>
      <c r="EG18" s="359">
        <f t="shared" si="69"/>
        <v>0.598</v>
      </c>
      <c r="EH18" s="5"/>
      <c r="EI18" s="20"/>
      <c r="EJ18" s="145"/>
      <c r="EK18" s="245"/>
      <c r="EL18" s="246"/>
      <c r="EM18" s="247"/>
      <c r="EN18" s="248"/>
      <c r="EO18" s="145"/>
      <c r="EP18" s="4"/>
      <c r="EQ18" s="4"/>
      <c r="ER18" s="4"/>
      <c r="ES18" s="4"/>
      <c r="ET18" s="5"/>
      <c r="EU18" s="20"/>
      <c r="EV18" s="5"/>
      <c r="EW18" s="5"/>
    </row>
    <row r="19">
      <c r="A19" s="145"/>
      <c r="B19" s="20" t="s">
        <v>537</v>
      </c>
      <c r="C19" s="145"/>
      <c r="D19" s="4">
        <v>0.7910686154409698</v>
      </c>
      <c r="E19" s="4">
        <v>0.5663716814159292</v>
      </c>
      <c r="F19" s="4">
        <v>0.5659017246499096</v>
      </c>
      <c r="G19" s="4">
        <v>0.1672717947050717</v>
      </c>
      <c r="H19" s="4"/>
      <c r="I19" s="4">
        <v>0.9196790752903021</v>
      </c>
      <c r="J19" s="4">
        <v>0.7726769911504425</v>
      </c>
      <c r="K19" s="4">
        <v>0.7773228523397714</v>
      </c>
      <c r="L19" s="4">
        <v>0.348347041714258</v>
      </c>
      <c r="M19" s="4"/>
      <c r="N19" s="4">
        <v>0.6788514755062698</v>
      </c>
      <c r="O19" s="4">
        <v>0.6546530392684239</v>
      </c>
      <c r="P19" s="4">
        <v>0.383059002786473</v>
      </c>
      <c r="Q19" s="4">
        <v>0.2327690506937689</v>
      </c>
      <c r="R19" s="4"/>
      <c r="S19" s="4">
        <v>0.6343722717755442</v>
      </c>
      <c r="T19" s="4">
        <v>0.456</v>
      </c>
      <c r="U19" s="4">
        <v>0.2235296602222543</v>
      </c>
      <c r="V19" s="4">
        <v>0.133230355449456</v>
      </c>
      <c r="W19" s="4"/>
      <c r="X19" s="4">
        <v>0.7518752664241769</v>
      </c>
      <c r="Y19" s="4">
        <v>0.7697841726618705</v>
      </c>
      <c r="Z19" s="4">
        <v>0.4696475819127786</v>
      </c>
      <c r="AA19" s="4">
        <v>0.2075263810054473</v>
      </c>
      <c r="AB19" s="4"/>
      <c r="AC19" s="4">
        <v>0.8814832361516034</v>
      </c>
      <c r="AD19" s="4">
        <v>0.68</v>
      </c>
      <c r="AE19" s="4">
        <v>0.7053986285088905</v>
      </c>
      <c r="AF19" s="238">
        <v>0.2686909428746233</v>
      </c>
      <c r="AG19" s="4"/>
      <c r="AH19" s="4">
        <v>0.6967057329321849</v>
      </c>
      <c r="AI19" s="4">
        <v>0.9366963402571711</v>
      </c>
      <c r="AJ19" s="4"/>
      <c r="AK19" s="4">
        <v>0.7348331961658667</v>
      </c>
      <c r="AL19" s="4">
        <v>0.269396551724138</v>
      </c>
      <c r="AM19" s="4"/>
      <c r="AN19" s="4">
        <v>0.5266187092769431</v>
      </c>
      <c r="AO19" s="4">
        <v>0.4126582278481012</v>
      </c>
      <c r="AP19" s="4"/>
      <c r="AQ19" s="4"/>
      <c r="AR19" s="4"/>
      <c r="AS19" s="4"/>
      <c r="AT19" s="4">
        <v>0.8560770341066201</v>
      </c>
      <c r="AU19" s="4">
        <v>0.7283090563647878</v>
      </c>
      <c r="AV19" s="145"/>
      <c r="AW19" s="4">
        <v>0.7362020300353838</v>
      </c>
      <c r="AX19" s="4">
        <v>0.9891255097417309</v>
      </c>
      <c r="AY19" s="4"/>
      <c r="AZ19" s="4">
        <v>0.6186335142230284</v>
      </c>
      <c r="BA19" s="4">
        <v>0.8504093826067715</v>
      </c>
      <c r="BB19" s="4"/>
      <c r="BC19" s="4">
        <v>0.8307104614712926</v>
      </c>
      <c r="BD19" s="4">
        <v>0.7681722689075631</v>
      </c>
      <c r="BE19" s="4"/>
      <c r="BF19" s="4">
        <v>0.7341485775247115</v>
      </c>
      <c r="BG19" s="4">
        <v>0.7606679035250464</v>
      </c>
      <c r="BH19" s="4"/>
      <c r="BI19" s="4">
        <v>0.538064279415285</v>
      </c>
      <c r="BJ19" s="4">
        <v>0.7872023809523809</v>
      </c>
      <c r="BK19" s="4"/>
      <c r="BL19" s="352">
        <v>0.751135</v>
      </c>
      <c r="BM19" s="352">
        <v>0.847042</v>
      </c>
      <c r="BN19" s="4"/>
      <c r="BO19" s="352">
        <v>0.743883</v>
      </c>
      <c r="BP19" s="352">
        <v>0.844342</v>
      </c>
      <c r="BQ19" s="4"/>
      <c r="BR19" s="4"/>
      <c r="BS19" s="238"/>
      <c r="BT19" s="4"/>
      <c r="BU19" s="4"/>
      <c r="BV19" s="4"/>
      <c r="BW19" s="4"/>
      <c r="BX19" s="4"/>
      <c r="BY19" s="4"/>
      <c r="BZ19" s="352">
        <v>0.691412</v>
      </c>
      <c r="CA19" s="352">
        <v>0.865342</v>
      </c>
      <c r="CB19" s="352">
        <v>0.335522</v>
      </c>
      <c r="CC19" s="352">
        <v>0.214224</v>
      </c>
      <c r="CD19" s="352">
        <v>0.82303</v>
      </c>
      <c r="CE19" s="352">
        <v>0.582022</v>
      </c>
      <c r="CF19" s="352">
        <v>0.532856</v>
      </c>
      <c r="CG19" s="352">
        <v>0.191056</v>
      </c>
      <c r="CH19" s="4"/>
      <c r="CI19" s="352">
        <v>0.95063</v>
      </c>
      <c r="CJ19" s="352">
        <v>0.987474</v>
      </c>
      <c r="CK19" s="352">
        <v>0.856403</v>
      </c>
      <c r="CL19" s="352">
        <v>0.623638</v>
      </c>
      <c r="CM19" s="352">
        <v>0.744886</v>
      </c>
      <c r="CN19" s="352">
        <v>0.724138</v>
      </c>
      <c r="CO19" s="352">
        <v>0.422941</v>
      </c>
      <c r="CP19" s="352">
        <v>0.154252</v>
      </c>
      <c r="CQ19" s="352">
        <v>0.78292</v>
      </c>
      <c r="CR19" s="352">
        <v>0.885</v>
      </c>
      <c r="CS19" s="352">
        <v>0.78292</v>
      </c>
      <c r="CT19" s="352">
        <v>0.885</v>
      </c>
      <c r="CU19" s="352">
        <v>0.614382</v>
      </c>
      <c r="CV19" s="352">
        <v>0.383476</v>
      </c>
      <c r="CW19" s="4"/>
      <c r="CX19" s="352">
        <v>0.939457</v>
      </c>
      <c r="CY19" s="352">
        <v>0.982801</v>
      </c>
      <c r="CZ19" s="352">
        <v>0.939457</v>
      </c>
      <c r="DA19" s="352">
        <v>0.982801</v>
      </c>
      <c r="DB19" s="352">
        <v>0.88022</v>
      </c>
      <c r="DC19" s="352">
        <v>0.781944</v>
      </c>
      <c r="DD19" s="4"/>
      <c r="DE19" s="352">
        <v>0.62466</v>
      </c>
      <c r="DF19" s="352">
        <v>0.808307</v>
      </c>
      <c r="DG19" s="352">
        <v>0.62466</v>
      </c>
      <c r="DH19" s="352">
        <v>0.808307</v>
      </c>
      <c r="DI19" s="352">
        <v>0.205932</v>
      </c>
      <c r="DJ19" s="352">
        <v>0.063945</v>
      </c>
      <c r="DK19" s="4"/>
      <c r="DL19" s="4"/>
      <c r="DM19" s="352">
        <v>0.909339</v>
      </c>
      <c r="DN19" s="352">
        <v>0.936857</v>
      </c>
      <c r="DO19" s="352">
        <v>0.711205</v>
      </c>
      <c r="DP19" s="352">
        <v>0.646385</v>
      </c>
      <c r="DQ19" s="4"/>
      <c r="DR19" s="352">
        <v>0.65104</v>
      </c>
      <c r="DS19" s="352">
        <v>0.778878</v>
      </c>
      <c r="DT19" s="352">
        <v>0.269534</v>
      </c>
      <c r="DU19" s="352">
        <v>0.124428</v>
      </c>
      <c r="DV19" s="4"/>
      <c r="DW19" s="4"/>
      <c r="DX19" s="4"/>
      <c r="DY19" s="4"/>
      <c r="DZ19" s="360"/>
      <c r="EA19" s="245"/>
      <c r="EB19" s="361"/>
      <c r="EC19" s="362"/>
      <c r="ED19" s="363"/>
      <c r="EE19" s="364"/>
      <c r="EF19" s="365"/>
      <c r="EG19" s="366"/>
      <c r="EH19" s="367"/>
      <c r="EI19" s="368"/>
      <c r="EJ19" s="369"/>
      <c r="EK19" s="370"/>
      <c r="EL19" s="371"/>
      <c r="EM19" s="372"/>
      <c r="EN19" s="373"/>
      <c r="EO19" s="374"/>
      <c r="EP19" s="375"/>
      <c r="EQ19" s="376"/>
      <c r="ER19" s="377"/>
      <c r="ES19" s="378"/>
      <c r="ET19" s="379"/>
      <c r="EU19" s="380"/>
      <c r="EV19" s="5"/>
      <c r="EW19" s="5"/>
    </row>
    <row r="20">
      <c r="A20" s="145"/>
      <c r="B20" s="20" t="s">
        <v>538</v>
      </c>
      <c r="C20" s="145"/>
      <c r="D20" s="4">
        <v>0.7805883264806591</v>
      </c>
      <c r="E20" s="4">
        <v>0.5899705014749262</v>
      </c>
      <c r="F20" s="4">
        <v>0.5393059081867841</v>
      </c>
      <c r="G20" s="4">
        <v>0.1569990795511854</v>
      </c>
      <c r="H20" s="4"/>
      <c r="I20" s="4">
        <v>0.918357573227593</v>
      </c>
      <c r="J20" s="4">
        <v>0.769358407079646</v>
      </c>
      <c r="K20" s="4">
        <v>0.7784156630895726</v>
      </c>
      <c r="L20" s="4">
        <v>0.3043873618978769</v>
      </c>
      <c r="M20" s="4"/>
      <c r="N20" s="4">
        <v>0.6808408769046931</v>
      </c>
      <c r="O20" s="4">
        <v>0.6385153308230231</v>
      </c>
      <c r="P20" s="4">
        <v>0.3813987338466948</v>
      </c>
      <c r="Q20" s="4">
        <v>0.2240354462658177</v>
      </c>
      <c r="R20" s="4"/>
      <c r="S20" s="4">
        <v>0.6287517853154663</v>
      </c>
      <c r="T20" s="4">
        <v>0.4345</v>
      </c>
      <c r="U20" s="4">
        <v>0.2240396505803771</v>
      </c>
      <c r="V20" s="4">
        <v>0.1212589362037252</v>
      </c>
      <c r="W20" s="4"/>
      <c r="X20" s="4">
        <v>0.7450935435831734</v>
      </c>
      <c r="Y20" s="4">
        <v>0.7841726618705036</v>
      </c>
      <c r="Z20" s="4">
        <v>0.4933517604208923</v>
      </c>
      <c r="AA20" s="4">
        <v>0.2376673178496491</v>
      </c>
      <c r="AB20" s="4"/>
      <c r="AC20" s="4">
        <v>0.8685659620991254</v>
      </c>
      <c r="AD20" s="4">
        <v>0.65</v>
      </c>
      <c r="AE20" s="4">
        <v>0.6967492440422675</v>
      </c>
      <c r="AF20" s="238">
        <v>0.266564240445554</v>
      </c>
      <c r="AG20" s="4"/>
      <c r="AH20" s="4">
        <v>0.6971732326979833</v>
      </c>
      <c r="AI20" s="4">
        <v>0.9317507418397626</v>
      </c>
      <c r="AJ20" s="4"/>
      <c r="AK20" s="4">
        <v>0.7285142279019442</v>
      </c>
      <c r="AL20" s="4">
        <v>0.2306034482758621</v>
      </c>
      <c r="AM20" s="4"/>
      <c r="AN20" s="4">
        <v>0.5452633598743668</v>
      </c>
      <c r="AO20" s="4">
        <v>0.3620253164556962</v>
      </c>
      <c r="AP20" s="4"/>
      <c r="AQ20" s="4"/>
      <c r="AR20" s="4"/>
      <c r="AS20" s="4"/>
      <c r="AT20" s="4">
        <v>0.8388542334344706</v>
      </c>
      <c r="AU20" s="4">
        <v>0.7169094363521216</v>
      </c>
      <c r="AV20" s="145"/>
      <c r="AW20" s="4">
        <v>0.7255956337912622</v>
      </c>
      <c r="AX20" s="4">
        <v>0.987313094698686</v>
      </c>
      <c r="AY20" s="4"/>
      <c r="AZ20" s="4">
        <v>0.6235114247344317</v>
      </c>
      <c r="BA20" s="4">
        <v>0.8461311499594305</v>
      </c>
      <c r="BB20" s="4"/>
      <c r="BC20" s="4">
        <v>0.8345856115567593</v>
      </c>
      <c r="BD20" s="4">
        <v>0.7699579831932774</v>
      </c>
      <c r="BE20" s="4"/>
      <c r="BF20" s="4">
        <v>0.7314295533704805</v>
      </c>
      <c r="BG20" s="4">
        <v>0.7606679035250464</v>
      </c>
      <c r="BH20" s="4"/>
      <c r="BI20" s="4">
        <v>0.5594670223590776</v>
      </c>
      <c r="BJ20" s="4">
        <v>0.7916666666666666</v>
      </c>
      <c r="BK20" s="4"/>
      <c r="BL20" s="4"/>
      <c r="BM20" s="4"/>
      <c r="BN20" s="4"/>
      <c r="BO20" s="4"/>
      <c r="BP20" s="4"/>
      <c r="BQ20" s="4"/>
      <c r="BR20" s="4"/>
      <c r="BS20" s="238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145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238"/>
      <c r="DQ20" s="4"/>
      <c r="DR20" s="4"/>
      <c r="DS20" s="4"/>
      <c r="DT20" s="4"/>
      <c r="DU20" s="4"/>
      <c r="DV20" s="4"/>
      <c r="DW20" s="4"/>
      <c r="DX20" s="4"/>
      <c r="DY20" s="4"/>
      <c r="DZ20" s="360"/>
      <c r="EA20" s="245"/>
      <c r="EB20" s="361"/>
      <c r="EC20" s="362"/>
      <c r="ED20" s="363"/>
      <c r="EE20" s="364"/>
      <c r="EF20" s="365"/>
      <c r="EG20" s="366"/>
      <c r="EH20" s="367"/>
      <c r="EI20" s="368"/>
      <c r="EJ20" s="369"/>
      <c r="EK20" s="370"/>
      <c r="EL20" s="371"/>
      <c r="EM20" s="372"/>
      <c r="EN20" s="373"/>
      <c r="EO20" s="374"/>
      <c r="EP20" s="375"/>
      <c r="EQ20" s="376"/>
      <c r="ER20" s="377"/>
      <c r="ES20" s="378"/>
      <c r="ET20" s="379"/>
      <c r="EU20" s="380"/>
      <c r="EV20" s="5"/>
      <c r="EW20" s="5"/>
    </row>
    <row r="21">
      <c r="A21" s="145"/>
      <c r="B21" s="20" t="s">
        <v>539</v>
      </c>
      <c r="C21" s="145"/>
      <c r="D21" s="352">
        <v>0.780588</v>
      </c>
      <c r="E21" s="352">
        <v>0.589971</v>
      </c>
      <c r="F21" s="352">
        <v>0.539306</v>
      </c>
      <c r="G21" s="352">
        <v>0.156999</v>
      </c>
      <c r="H21" s="4"/>
      <c r="I21" s="352">
        <v>0.918358</v>
      </c>
      <c r="J21" s="352">
        <v>0.769358</v>
      </c>
      <c r="K21" s="352">
        <v>0.778416</v>
      </c>
      <c r="L21" s="352">
        <v>0.304387</v>
      </c>
      <c r="M21" s="4"/>
      <c r="N21" s="352">
        <v>0.680841</v>
      </c>
      <c r="O21" s="352">
        <v>0.638515</v>
      </c>
      <c r="P21" s="352">
        <v>0.381399</v>
      </c>
      <c r="Q21" s="352">
        <v>0.224035</v>
      </c>
      <c r="R21" s="4"/>
      <c r="S21" s="352">
        <v>0.628752</v>
      </c>
      <c r="T21" s="352">
        <v>0.4345</v>
      </c>
      <c r="U21" s="352">
        <v>0.22404</v>
      </c>
      <c r="V21" s="352">
        <v>0.121259</v>
      </c>
      <c r="W21" s="4"/>
      <c r="X21" s="352">
        <v>0.745094</v>
      </c>
      <c r="Y21" s="352">
        <v>0.784173</v>
      </c>
      <c r="Z21" s="352">
        <v>0.493352</v>
      </c>
      <c r="AA21" s="352">
        <v>0.237667</v>
      </c>
      <c r="AB21" s="4"/>
      <c r="AC21" s="352">
        <v>0.868566</v>
      </c>
      <c r="AD21" s="352">
        <v>0.65</v>
      </c>
      <c r="AE21" s="352">
        <v>0.696749</v>
      </c>
      <c r="AF21" s="352">
        <v>0.266564</v>
      </c>
      <c r="AG21" s="4"/>
      <c r="AH21" s="352">
        <v>0.697173</v>
      </c>
      <c r="AI21" s="352">
        <v>0.931751</v>
      </c>
      <c r="AJ21" s="4"/>
      <c r="AK21" s="352">
        <v>0.728514</v>
      </c>
      <c r="AL21" s="352">
        <v>0.230603</v>
      </c>
      <c r="AM21" s="4"/>
      <c r="AN21" s="352">
        <v>0.545263</v>
      </c>
      <c r="AO21" s="352">
        <v>0.362025</v>
      </c>
      <c r="AP21" s="4"/>
      <c r="AQ21" s="4"/>
      <c r="AR21" s="4"/>
      <c r="AS21" s="4"/>
      <c r="AT21" s="352">
        <v>0.838854</v>
      </c>
      <c r="AU21" s="352">
        <v>0.716909</v>
      </c>
      <c r="AV21" s="4"/>
      <c r="AW21" s="352">
        <v>0.725596</v>
      </c>
      <c r="AX21" s="352">
        <v>0.987313</v>
      </c>
      <c r="AY21" s="4"/>
      <c r="AZ21" s="352">
        <v>0.623511</v>
      </c>
      <c r="BA21" s="352">
        <v>0.846131</v>
      </c>
      <c r="BB21" s="4"/>
      <c r="BC21" s="352">
        <v>0.834586</v>
      </c>
      <c r="BD21" s="352">
        <v>0.769958</v>
      </c>
      <c r="BE21" s="4"/>
      <c r="BF21" s="352">
        <v>0.73143</v>
      </c>
      <c r="BG21" s="352">
        <v>0.760668</v>
      </c>
      <c r="BH21" s="4"/>
      <c r="BI21" s="352">
        <v>0.559467</v>
      </c>
      <c r="BJ21" s="352">
        <v>0.791667</v>
      </c>
      <c r="BK21" s="4"/>
      <c r="BL21" s="352">
        <v>0.763155</v>
      </c>
      <c r="BM21" s="352">
        <v>0.845584</v>
      </c>
      <c r="BN21" s="4"/>
      <c r="BO21" s="352">
        <v>0.75628</v>
      </c>
      <c r="BP21" s="352">
        <v>0.844526</v>
      </c>
      <c r="BQ21" s="4"/>
      <c r="BR21" s="4"/>
      <c r="BS21" s="238"/>
      <c r="BT21" s="4"/>
      <c r="BU21" s="4"/>
      <c r="BV21" s="4"/>
      <c r="BW21" s="4"/>
      <c r="BX21" s="4"/>
      <c r="BY21" s="4"/>
      <c r="BZ21" s="352">
        <v>0.678505</v>
      </c>
      <c r="CA21" s="352">
        <v>0.836645</v>
      </c>
      <c r="CB21" s="352">
        <v>0.272606</v>
      </c>
      <c r="CC21" s="352">
        <v>0.16728</v>
      </c>
      <c r="CD21" s="352">
        <v>0.817198</v>
      </c>
      <c r="CE21" s="352">
        <v>0.561798</v>
      </c>
      <c r="CF21" s="352">
        <v>0.502052</v>
      </c>
      <c r="CG21" s="352">
        <v>0.165089</v>
      </c>
      <c r="CH21" s="4"/>
      <c r="CI21" s="352">
        <v>0.941805</v>
      </c>
      <c r="CJ21" s="352">
        <v>0.986708</v>
      </c>
      <c r="CK21" s="352">
        <v>0.863519</v>
      </c>
      <c r="CL21" s="352">
        <v>0.658823</v>
      </c>
      <c r="CM21" s="352">
        <v>0.738749</v>
      </c>
      <c r="CN21" s="352">
        <v>0.7009</v>
      </c>
      <c r="CO21" s="352">
        <v>0.40913</v>
      </c>
      <c r="CP21" s="352">
        <v>0.161207</v>
      </c>
      <c r="CQ21" s="352">
        <v>0.803523</v>
      </c>
      <c r="CR21" s="352">
        <v>0.925</v>
      </c>
      <c r="CS21" s="352">
        <v>0.803523</v>
      </c>
      <c r="CT21" s="352">
        <v>0.925</v>
      </c>
      <c r="CU21" s="352">
        <v>0.627647</v>
      </c>
      <c r="CV21" s="352">
        <v>0.402565</v>
      </c>
      <c r="CW21" s="4"/>
      <c r="CX21" s="352">
        <v>0.939809</v>
      </c>
      <c r="CY21" s="352">
        <v>0.980344</v>
      </c>
      <c r="CZ21" s="352">
        <v>0.939809</v>
      </c>
      <c r="DA21" s="352">
        <v>0.980344</v>
      </c>
      <c r="DB21" s="352">
        <v>0.910695</v>
      </c>
      <c r="DC21" s="352">
        <v>0.845091</v>
      </c>
      <c r="DD21" s="4"/>
      <c r="DE21" s="352">
        <v>0.625347</v>
      </c>
      <c r="DF21" s="352">
        <v>0.821086</v>
      </c>
      <c r="DG21" s="352">
        <v>0.625347</v>
      </c>
      <c r="DH21" s="352">
        <v>0.821086</v>
      </c>
      <c r="DI21" s="352">
        <v>0.275869</v>
      </c>
      <c r="DJ21" s="352">
        <v>0.12026</v>
      </c>
      <c r="DK21" s="4"/>
      <c r="DL21" s="4"/>
      <c r="DM21" s="352">
        <v>0.874397</v>
      </c>
      <c r="DN21" s="352">
        <v>0.951956</v>
      </c>
      <c r="DO21" s="352">
        <v>0.679635</v>
      </c>
      <c r="DP21" s="352">
        <v>0.609713</v>
      </c>
      <c r="DQ21" s="4"/>
      <c r="DR21" s="352">
        <v>0.656266</v>
      </c>
      <c r="DS21" s="352">
        <v>0.831683</v>
      </c>
      <c r="DT21" s="352">
        <v>0.251479</v>
      </c>
      <c r="DU21" s="352">
        <v>0.106663</v>
      </c>
      <c r="DV21" s="4"/>
      <c r="DW21" s="4"/>
      <c r="DX21" s="4"/>
      <c r="DY21" s="4"/>
      <c r="DZ21" s="360"/>
      <c r="EA21" s="245"/>
      <c r="EB21" s="361"/>
      <c r="EC21" s="362"/>
      <c r="ED21" s="363"/>
      <c r="EE21" s="364"/>
      <c r="EF21" s="365"/>
      <c r="EG21" s="366"/>
      <c r="EH21" s="367"/>
      <c r="EI21" s="368"/>
      <c r="EJ21" s="369"/>
      <c r="EK21" s="370"/>
      <c r="EL21" s="371"/>
      <c r="EM21" s="372"/>
      <c r="EN21" s="373"/>
      <c r="EO21" s="374"/>
      <c r="EP21" s="375"/>
      <c r="EQ21" s="376"/>
      <c r="ER21" s="377"/>
      <c r="ES21" s="378"/>
      <c r="ET21" s="379"/>
      <c r="EU21" s="380"/>
      <c r="EV21" s="5"/>
      <c r="EW21" s="5"/>
    </row>
    <row r="22">
      <c r="A22" s="52"/>
      <c r="B22" s="53" t="s">
        <v>540</v>
      </c>
      <c r="C22" s="25">
        <v>0.855</v>
      </c>
      <c r="D22" s="26" t="s">
        <v>541</v>
      </c>
      <c r="E22" s="26" t="s">
        <v>542</v>
      </c>
      <c r="F22" s="26" t="s">
        <v>164</v>
      </c>
      <c r="G22" s="26" t="s">
        <v>543</v>
      </c>
      <c r="H22" s="26">
        <v>0.266</v>
      </c>
      <c r="I22" s="26" t="s">
        <v>421</v>
      </c>
      <c r="J22" s="26" t="s">
        <v>183</v>
      </c>
      <c r="K22" s="26" t="s">
        <v>544</v>
      </c>
      <c r="L22" s="26" t="s">
        <v>545</v>
      </c>
      <c r="M22" s="26">
        <v>0.8</v>
      </c>
      <c r="N22" s="26" t="s">
        <v>123</v>
      </c>
      <c r="O22" s="26" t="s">
        <v>167</v>
      </c>
      <c r="P22" s="26" t="s">
        <v>546</v>
      </c>
      <c r="Q22" s="26" t="s">
        <v>547</v>
      </c>
      <c r="R22" s="26">
        <v>0.654</v>
      </c>
      <c r="S22" s="26" t="s">
        <v>548</v>
      </c>
      <c r="T22" s="26" t="s">
        <v>549</v>
      </c>
      <c r="U22" s="26" t="s">
        <v>550</v>
      </c>
      <c r="V22" s="26" t="s">
        <v>551</v>
      </c>
      <c r="W22" s="26">
        <v>0.784</v>
      </c>
      <c r="X22" s="26" t="s">
        <v>552</v>
      </c>
      <c r="Y22" s="26" t="s">
        <v>553</v>
      </c>
      <c r="Z22" s="26" t="s">
        <v>554</v>
      </c>
      <c r="AA22" s="26" t="s">
        <v>555</v>
      </c>
      <c r="AB22" s="26">
        <v>0.868</v>
      </c>
      <c r="AC22" s="26" t="s">
        <v>141</v>
      </c>
      <c r="AD22" s="26" t="s">
        <v>556</v>
      </c>
      <c r="AE22" s="26" t="s">
        <v>142</v>
      </c>
      <c r="AF22" s="27" t="s">
        <v>337</v>
      </c>
      <c r="AG22" s="26">
        <v>0.418</v>
      </c>
      <c r="AH22" s="26" t="s">
        <v>88</v>
      </c>
      <c r="AI22" s="26" t="s">
        <v>232</v>
      </c>
      <c r="AJ22" s="26">
        <v>0.086</v>
      </c>
      <c r="AK22" s="26" t="s">
        <v>464</v>
      </c>
      <c r="AL22" s="26" t="s">
        <v>557</v>
      </c>
      <c r="AM22" s="26">
        <v>0.534</v>
      </c>
      <c r="AN22" s="26" t="s">
        <v>481</v>
      </c>
      <c r="AO22" s="26" t="s">
        <v>193</v>
      </c>
      <c r="AP22" s="26">
        <v>0.255</v>
      </c>
      <c r="AQ22" s="26" t="s">
        <v>558</v>
      </c>
      <c r="AR22" s="26" t="s">
        <v>93</v>
      </c>
      <c r="AS22" s="26">
        <v>0.263</v>
      </c>
      <c r="AT22" s="26" t="s">
        <v>559</v>
      </c>
      <c r="AU22" s="26" t="s">
        <v>55</v>
      </c>
      <c r="AV22" s="28">
        <v>0.147</v>
      </c>
      <c r="AW22" s="26" t="s">
        <v>87</v>
      </c>
      <c r="AX22" s="26" t="s">
        <v>288</v>
      </c>
      <c r="AY22" s="29">
        <v>0.06</v>
      </c>
      <c r="AZ22" s="26" t="s">
        <v>560</v>
      </c>
      <c r="BA22" s="26" t="s">
        <v>531</v>
      </c>
      <c r="BB22" s="29">
        <v>0.074</v>
      </c>
      <c r="BC22" s="26" t="s">
        <v>140</v>
      </c>
      <c r="BD22" s="26" t="s">
        <v>80</v>
      </c>
      <c r="BE22" s="29">
        <v>0.23</v>
      </c>
      <c r="BF22" s="26" t="s">
        <v>281</v>
      </c>
      <c r="BG22" s="26" t="s">
        <v>96</v>
      </c>
      <c r="BH22" s="29">
        <v>0.138</v>
      </c>
      <c r="BI22" s="26" t="s">
        <v>179</v>
      </c>
      <c r="BJ22" s="26" t="s">
        <v>489</v>
      </c>
      <c r="BK22" s="29">
        <v>0.114</v>
      </c>
      <c r="BL22" s="29">
        <v>0.739</v>
      </c>
      <c r="BM22" s="29">
        <v>0.796</v>
      </c>
      <c r="BN22" s="29">
        <v>0.112</v>
      </c>
      <c r="BO22" s="29">
        <v>0.723</v>
      </c>
      <c r="BP22" s="29">
        <v>0.822</v>
      </c>
      <c r="BQ22" s="26"/>
      <c r="BR22" s="26"/>
      <c r="BS22" s="27"/>
      <c r="BT22" s="72">
        <v>0.797</v>
      </c>
      <c r="BU22" s="26" t="s">
        <v>219</v>
      </c>
      <c r="BV22" s="26" t="s">
        <v>205</v>
      </c>
      <c r="BW22" s="26" t="s">
        <v>256</v>
      </c>
      <c r="BX22" s="26" t="s">
        <v>81</v>
      </c>
      <c r="BY22" s="72">
        <v>0.841</v>
      </c>
      <c r="BZ22" s="26" t="s">
        <v>154</v>
      </c>
      <c r="CA22" s="26" t="s">
        <v>241</v>
      </c>
      <c r="CB22" s="26" t="s">
        <v>561</v>
      </c>
      <c r="CC22" s="26" t="s">
        <v>562</v>
      </c>
      <c r="CD22" s="26" t="s">
        <v>563</v>
      </c>
      <c r="CE22" s="26" t="s">
        <v>159</v>
      </c>
      <c r="CF22" s="26" t="s">
        <v>564</v>
      </c>
      <c r="CG22" s="26" t="s">
        <v>340</v>
      </c>
      <c r="CH22" s="29">
        <v>0.9856850716</v>
      </c>
      <c r="CI22" s="29">
        <v>0.976611924</v>
      </c>
      <c r="CJ22" s="29">
        <v>0.9915644172</v>
      </c>
      <c r="CK22" s="29">
        <v>0.8851536914</v>
      </c>
      <c r="CL22" s="29">
        <v>0.6555402039</v>
      </c>
      <c r="CM22" s="31">
        <v>0.688</v>
      </c>
      <c r="CN22" s="31">
        <v>0.749</v>
      </c>
      <c r="CO22" s="31">
        <v>0.379</v>
      </c>
      <c r="CP22" s="31">
        <v>0.134</v>
      </c>
      <c r="CQ22" s="28">
        <v>0.638</v>
      </c>
      <c r="CR22" s="29">
        <v>0.79</v>
      </c>
      <c r="CS22" s="29">
        <v>0.544</v>
      </c>
      <c r="CT22" s="29">
        <v>0.09</v>
      </c>
      <c r="CU22" s="29">
        <v>0.265</v>
      </c>
      <c r="CV22" s="29">
        <v>0.094</v>
      </c>
      <c r="CW22" s="29">
        <v>0.165</v>
      </c>
      <c r="CX22" s="29">
        <v>0.908</v>
      </c>
      <c r="CY22" s="29">
        <v>0.973</v>
      </c>
      <c r="CZ22" s="29">
        <v>0.643</v>
      </c>
      <c r="DA22" s="29">
        <v>0.243</v>
      </c>
      <c r="DB22" s="29">
        <v>0.849</v>
      </c>
      <c r="DC22" s="29">
        <v>0.678</v>
      </c>
      <c r="DD22" s="29">
        <v>0.251</v>
      </c>
      <c r="DE22" s="29">
        <v>0.685</v>
      </c>
      <c r="DF22" s="29">
        <v>0.802</v>
      </c>
      <c r="DG22" s="29">
        <v>0.473</v>
      </c>
      <c r="DH22" s="29">
        <v>0.062</v>
      </c>
      <c r="DI22" s="29">
        <v>0.319</v>
      </c>
      <c r="DJ22" s="29">
        <v>0.175</v>
      </c>
      <c r="DK22" s="29">
        <v>0.073</v>
      </c>
      <c r="DL22" s="29">
        <v>0.957</v>
      </c>
      <c r="DM22" s="29" t="s">
        <v>158</v>
      </c>
      <c r="DN22" s="29" t="s">
        <v>565</v>
      </c>
      <c r="DO22" s="29" t="s">
        <v>385</v>
      </c>
      <c r="DP22" s="32" t="s">
        <v>566</v>
      </c>
      <c r="DQ22" s="29">
        <v>0.241</v>
      </c>
      <c r="DR22" s="29">
        <v>0.643</v>
      </c>
      <c r="DS22" s="29">
        <v>0.743</v>
      </c>
      <c r="DT22" s="29">
        <v>0.218</v>
      </c>
      <c r="DU22" s="29">
        <v>0.091</v>
      </c>
      <c r="DZ22" s="108">
        <f t="shared" ref="DZ22:ED22" si="70">IFERROR(AVERAGE(IFERROR(VALUE(C22),""),IFERROR(VALUE(H22),""),IFERROR(VALUE(M22),""),IFERROR(VALUE(R22),""),IFERROR(VALUE(W22),""),IFERROR(VALUE(AB22),"")),"")</f>
        <v>0.7045</v>
      </c>
      <c r="EA22" s="41">
        <f t="shared" si="70"/>
        <v>0.7143333333</v>
      </c>
      <c r="EB22" s="74">
        <f t="shared" si="70"/>
        <v>0.5718333333</v>
      </c>
      <c r="EC22" s="35">
        <f t="shared" si="70"/>
        <v>0.4733333333</v>
      </c>
      <c r="ED22" s="252">
        <f t="shared" si="70"/>
        <v>0.1875</v>
      </c>
      <c r="EE22" s="253">
        <f t="shared" ref="EE22:EG22" si="71">IFERROR(AVERAGE(IFERROR(VALUE(AG22),""),IFERROR(VALUE(AJ22),""),IFERROR(VALUE(AM22),""),IFERROR(VALUE(AP22),""),IFERROR(VALUE(AS22),"")),"")</f>
        <v>0.3112</v>
      </c>
      <c r="EF22" s="254">
        <f t="shared" si="71"/>
        <v>0.7036</v>
      </c>
      <c r="EG22" s="255">
        <f t="shared" si="71"/>
        <v>0.6338</v>
      </c>
      <c r="EH22" s="229">
        <v>0.685</v>
      </c>
      <c r="EI22" s="57">
        <v>0.792</v>
      </c>
      <c r="EJ22" s="256">
        <f t="shared" ref="EJ22:EJ28" si="77">IFERROR(AVERAGE(IFERROR(VALUE(BT22),""),IFERROR(VALUE(BY22),""),IFERROR(VALUE(CH22),"")),"")</f>
        <v>0.8745616905</v>
      </c>
      <c r="EK22" s="257">
        <f t="shared" ref="EK22:EK28" si="78">IFERROR(AVERAGE(IFERROR(VALUE(BZ22),""),IFERROR(VALUE(CD22),""),IFERROR(VALUE(CI22),""),IFERROR(VALUE(CM22),"")),"")</f>
        <v>0.801152981</v>
      </c>
      <c r="EL22" s="163">
        <f t="shared" ref="EL22:EL28" si="79">IFERROR(AVERAGE(IFERROR(VALUE(CA22),""),IFERROR(VALUE(CE22),""),IFERROR(VALUE(CJ22),""), IFERROR(VALUE(CN22),"")),"")</f>
        <v>0.7976411043</v>
      </c>
      <c r="EM22" s="258">
        <f t="shared" ref="EM22:EM28" si="80">IFERROR(AVERAGE(IFERROR(VALUE(CB22),""),IFERROR(VALUE(CF22),""),IFERROR(VALUE(CK22),""),IFERROR(VALUE(CO22),"")),"")</f>
        <v>0.5327884229</v>
      </c>
      <c r="EN22" s="259">
        <f t="shared" ref="EN22:EN28" si="81">IFERROR(AVERAGE(IFERROR(VALUE(CC22),""),IFERROR(VALUE(CG22),""),IFERROR(VALUE(CL22),""), IFERROR(VALUE(CP22),"")),"")</f>
        <v>0.296135051</v>
      </c>
      <c r="EO22" s="260">
        <v>0.957</v>
      </c>
      <c r="EP22" s="83">
        <f t="shared" ref="EP22:EQ22" si="72">IFERROR(AVERAGE(IFERROR(VALUE(CQ22),""),IFERROR(VALUE(CX22),""),IFERROR(VALUE(DE22),""),IFERROR(VALUE(DM22),"")),"")</f>
        <v>0.76975</v>
      </c>
      <c r="EQ22" s="41">
        <f t="shared" si="72"/>
        <v>0.88075</v>
      </c>
      <c r="ER22" s="34">
        <f t="shared" ref="ER22:ES22" si="73">IFERROR(AVERAGE(IFERROR(VALUE(CU22),""),IFERROR(VALUE(DB22),""),IFERROR(VALUE(DI22),""),IFERROR(VALUE(DO22),"")),"")</f>
        <v>0.511</v>
      </c>
      <c r="ES22" s="35">
        <f t="shared" si="73"/>
        <v>0.36375</v>
      </c>
      <c r="ET22" s="261">
        <f t="shared" ref="ET22:EU22" si="74">IFERROR(AVERAGE(IFERROR(VALUE(CS22),""),IFERROR(VALUE(CZ22),""),IFERROR(VALUE(DG22),"")),"")</f>
        <v>0.5533333333</v>
      </c>
      <c r="EU22" s="262">
        <f t="shared" si="74"/>
        <v>0.1316666667</v>
      </c>
      <c r="EV22" s="51">
        <v>0.627</v>
      </c>
      <c r="EW22" s="51">
        <v>0.125</v>
      </c>
    </row>
    <row r="23">
      <c r="A23" s="52"/>
      <c r="B23" s="53" t="s">
        <v>567</v>
      </c>
      <c r="C23" s="25">
        <v>0.823</v>
      </c>
      <c r="D23" s="26" t="s">
        <v>244</v>
      </c>
      <c r="E23" s="26" t="s">
        <v>385</v>
      </c>
      <c r="F23" s="26" t="s">
        <v>332</v>
      </c>
      <c r="G23" s="26" t="s">
        <v>568</v>
      </c>
      <c r="H23" s="26">
        <v>0.33</v>
      </c>
      <c r="I23" s="26" t="s">
        <v>569</v>
      </c>
      <c r="J23" s="26" t="s">
        <v>570</v>
      </c>
      <c r="K23" s="26" t="s">
        <v>571</v>
      </c>
      <c r="L23" s="26" t="s">
        <v>545</v>
      </c>
      <c r="M23" s="26">
        <v>0.758</v>
      </c>
      <c r="N23" s="26" t="s">
        <v>443</v>
      </c>
      <c r="O23" s="26" t="s">
        <v>439</v>
      </c>
      <c r="P23" s="26" t="s">
        <v>572</v>
      </c>
      <c r="Q23" s="26" t="s">
        <v>573</v>
      </c>
      <c r="R23" s="26">
        <v>0.639</v>
      </c>
      <c r="S23" s="26" t="s">
        <v>574</v>
      </c>
      <c r="T23" s="26" t="s">
        <v>319</v>
      </c>
      <c r="U23" s="26" t="s">
        <v>575</v>
      </c>
      <c r="V23" s="26" t="s">
        <v>576</v>
      </c>
      <c r="W23" s="26">
        <v>0.863</v>
      </c>
      <c r="X23" s="26" t="s">
        <v>577</v>
      </c>
      <c r="Y23" s="26" t="s">
        <v>578</v>
      </c>
      <c r="Z23" s="26" t="s">
        <v>579</v>
      </c>
      <c r="AA23" s="26" t="s">
        <v>580</v>
      </c>
      <c r="AB23" s="26">
        <v>0.74</v>
      </c>
      <c r="AC23" s="26" t="s">
        <v>581</v>
      </c>
      <c r="AD23" s="26" t="s">
        <v>582</v>
      </c>
      <c r="AE23" s="26" t="s">
        <v>149</v>
      </c>
      <c r="AF23" s="27" t="s">
        <v>583</v>
      </c>
      <c r="AG23" s="26">
        <v>0.428</v>
      </c>
      <c r="AH23" s="26" t="s">
        <v>194</v>
      </c>
      <c r="AI23" s="26" t="s">
        <v>584</v>
      </c>
      <c r="AJ23" s="26">
        <v>0.087</v>
      </c>
      <c r="AK23" s="26" t="s">
        <v>558</v>
      </c>
      <c r="AL23" s="26" t="s">
        <v>295</v>
      </c>
      <c r="AM23" s="26">
        <v>0.571</v>
      </c>
      <c r="AN23" s="26" t="s">
        <v>585</v>
      </c>
      <c r="AO23" s="26" t="s">
        <v>206</v>
      </c>
      <c r="AP23" s="26">
        <v>0.081</v>
      </c>
      <c r="AQ23" s="26" t="s">
        <v>262</v>
      </c>
      <c r="AR23" s="26" t="s">
        <v>229</v>
      </c>
      <c r="AS23" s="26">
        <v>0.389</v>
      </c>
      <c r="AT23" s="26" t="s">
        <v>131</v>
      </c>
      <c r="AU23" s="26" t="s">
        <v>235</v>
      </c>
      <c r="AV23" s="28">
        <v>0.214</v>
      </c>
      <c r="AW23" s="26" t="s">
        <v>196</v>
      </c>
      <c r="AX23" s="26" t="s">
        <v>586</v>
      </c>
      <c r="AY23" s="29">
        <v>0.069</v>
      </c>
      <c r="AZ23" s="26" t="s">
        <v>587</v>
      </c>
      <c r="BA23" s="26" t="s">
        <v>185</v>
      </c>
      <c r="BB23" s="29">
        <v>0.105</v>
      </c>
      <c r="BC23" s="26" t="s">
        <v>588</v>
      </c>
      <c r="BD23" s="26" t="s">
        <v>119</v>
      </c>
      <c r="BE23" s="29">
        <v>0.257</v>
      </c>
      <c r="BF23" s="26" t="s">
        <v>402</v>
      </c>
      <c r="BG23" s="26" t="s">
        <v>589</v>
      </c>
      <c r="BH23" s="29">
        <v>0.119</v>
      </c>
      <c r="BI23" s="26" t="s">
        <v>304</v>
      </c>
      <c r="BJ23" s="26" t="s">
        <v>590</v>
      </c>
      <c r="BK23" s="29">
        <v>0.125</v>
      </c>
      <c r="BL23" s="29">
        <v>0.642</v>
      </c>
      <c r="BM23" s="29">
        <v>0.779</v>
      </c>
      <c r="BN23" s="29">
        <v>0.114</v>
      </c>
      <c r="BO23" s="29">
        <v>0.657</v>
      </c>
      <c r="BP23" s="29">
        <v>0.816</v>
      </c>
      <c r="BQ23" s="26"/>
      <c r="BR23" s="26"/>
      <c r="BS23" s="27"/>
      <c r="BT23" s="26">
        <v>0.742</v>
      </c>
      <c r="BU23" s="26" t="s">
        <v>441</v>
      </c>
      <c r="BV23" s="26" t="s">
        <v>591</v>
      </c>
      <c r="BW23" s="26" t="s">
        <v>488</v>
      </c>
      <c r="BX23" s="26" t="s">
        <v>592</v>
      </c>
      <c r="BY23" s="26">
        <v>0.841</v>
      </c>
      <c r="BZ23" s="26" t="s">
        <v>88</v>
      </c>
      <c r="CA23" s="26" t="s">
        <v>306</v>
      </c>
      <c r="CB23" s="26" t="s">
        <v>593</v>
      </c>
      <c r="CC23" s="26" t="s">
        <v>127</v>
      </c>
      <c r="CD23" s="26" t="s">
        <v>594</v>
      </c>
      <c r="CE23" s="72">
        <v>0.56</v>
      </c>
      <c r="CF23" s="26" t="s">
        <v>248</v>
      </c>
      <c r="CG23" s="26" t="s">
        <v>595</v>
      </c>
      <c r="CH23" s="29">
        <v>0.9700920245</v>
      </c>
      <c r="CI23" s="29">
        <v>0.9343732325</v>
      </c>
      <c r="CJ23" s="29">
        <v>0.9930981595</v>
      </c>
      <c r="CK23" s="29">
        <v>0.8159253752</v>
      </c>
      <c r="CL23" s="29">
        <v>0.5463171349</v>
      </c>
      <c r="CM23" s="31">
        <v>0.63</v>
      </c>
      <c r="CN23" s="31">
        <v>0.629</v>
      </c>
      <c r="CO23" s="31">
        <v>0.26</v>
      </c>
      <c r="CP23" s="31">
        <v>0.068</v>
      </c>
      <c r="CQ23" s="28">
        <v>0.65</v>
      </c>
      <c r="CR23" s="29">
        <v>0.88</v>
      </c>
      <c r="CS23" s="29">
        <v>0.54</v>
      </c>
      <c r="CT23" s="29">
        <v>0.109</v>
      </c>
      <c r="CU23" s="29">
        <v>0.265</v>
      </c>
      <c r="CV23" s="29">
        <v>0.078</v>
      </c>
      <c r="CW23" s="29">
        <v>0.175</v>
      </c>
      <c r="CX23" s="29">
        <v>0.917</v>
      </c>
      <c r="CY23" s="29">
        <v>0.968</v>
      </c>
      <c r="CZ23" s="29">
        <v>0.689</v>
      </c>
      <c r="DA23" s="29">
        <v>0.207</v>
      </c>
      <c r="DB23" s="29">
        <v>0.741</v>
      </c>
      <c r="DC23" s="29">
        <v>0.556</v>
      </c>
      <c r="DD23" s="29">
        <v>0.307</v>
      </c>
      <c r="DE23" s="29">
        <v>0.636</v>
      </c>
      <c r="DF23" s="29">
        <v>0.783</v>
      </c>
      <c r="DG23" s="29">
        <v>0.474</v>
      </c>
      <c r="DH23" s="29">
        <v>0.078</v>
      </c>
      <c r="DI23" s="29">
        <v>0.171</v>
      </c>
      <c r="DJ23" s="29">
        <v>0.057</v>
      </c>
      <c r="DK23" s="29">
        <v>0.115</v>
      </c>
      <c r="DL23" s="29">
        <v>0.914</v>
      </c>
      <c r="DM23" s="29" t="s">
        <v>214</v>
      </c>
      <c r="DN23" s="29" t="s">
        <v>134</v>
      </c>
      <c r="DO23" s="29" t="s">
        <v>596</v>
      </c>
      <c r="DP23" s="32" t="s">
        <v>597</v>
      </c>
      <c r="DQ23" s="29">
        <v>0.254</v>
      </c>
      <c r="DR23" s="29">
        <v>0.606</v>
      </c>
      <c r="DS23" s="29">
        <v>0.759</v>
      </c>
      <c r="DT23" s="29">
        <v>0.158</v>
      </c>
      <c r="DU23" s="29">
        <v>0.05</v>
      </c>
      <c r="DZ23" s="263">
        <f t="shared" ref="DZ23:ED23" si="75">IFERROR(AVERAGE(IFERROR(VALUE(C23),""),IFERROR(VALUE(H23),""),IFERROR(VALUE(M23),""),IFERROR(VALUE(R23),""),IFERROR(VALUE(W23),""),IFERROR(VALUE(AB23),"")),"")</f>
        <v>0.6921666667</v>
      </c>
      <c r="EA23" s="264">
        <f t="shared" si="75"/>
        <v>0.6705333333</v>
      </c>
      <c r="EB23" s="265">
        <f t="shared" si="75"/>
        <v>0.4985</v>
      </c>
      <c r="EC23" s="111">
        <f t="shared" si="75"/>
        <v>0.4096666667</v>
      </c>
      <c r="ED23" s="266">
        <f t="shared" si="75"/>
        <v>0.1171666667</v>
      </c>
      <c r="EE23" s="253">
        <f t="shared" ref="EE23:EG23" si="76">IFERROR(AVERAGE(IFERROR(VALUE(AG23),""),IFERROR(VALUE(AJ23),""),IFERROR(VALUE(AM23),""),IFERROR(VALUE(AP23),""),IFERROR(VALUE(AS23),"")),"")</f>
        <v>0.3112</v>
      </c>
      <c r="EF23" s="35">
        <f t="shared" si="76"/>
        <v>0.6794</v>
      </c>
      <c r="EG23" s="57">
        <f t="shared" si="76"/>
        <v>0.6068</v>
      </c>
      <c r="EH23" s="237">
        <v>0.631</v>
      </c>
      <c r="EI23" s="113">
        <v>0.773</v>
      </c>
      <c r="EJ23" s="33">
        <f t="shared" si="77"/>
        <v>0.8510306748</v>
      </c>
      <c r="EK23" s="41">
        <f t="shared" si="78"/>
        <v>0.7568433081</v>
      </c>
      <c r="EL23" s="38">
        <f t="shared" si="79"/>
        <v>0.7635245399</v>
      </c>
      <c r="EM23" s="237">
        <f t="shared" si="80"/>
        <v>0.4662313438</v>
      </c>
      <c r="EN23" s="267">
        <f t="shared" si="81"/>
        <v>0.2303292837</v>
      </c>
      <c r="EO23" s="268">
        <v>0.914</v>
      </c>
      <c r="EP23" s="41">
        <f t="shared" ref="EP23:EQ23" si="82">IFERROR(AVERAGE(IFERROR(VALUE(CQ23),""),IFERROR(VALUE(CX23),""),IFERROR(VALUE(DE23),""),IFERROR(VALUE(DM23),"")),"")</f>
        <v>0.75175</v>
      </c>
      <c r="EQ23" s="35">
        <f t="shared" si="82"/>
        <v>0.89225</v>
      </c>
      <c r="ER23" s="269">
        <f t="shared" ref="ER23:ES23" si="83">IFERROR(AVERAGE(IFERROR(VALUE(CU23),""),IFERROR(VALUE(DB23),""),IFERROR(VALUE(DI23),""),IFERROR(VALUE(DO23),"")),"")</f>
        <v>0.40075</v>
      </c>
      <c r="ES23" s="270">
        <f t="shared" si="83"/>
        <v>0.2435</v>
      </c>
      <c r="ET23" s="271">
        <f t="shared" ref="ET23:EU23" si="84">IFERROR(AVERAGE(IFERROR(VALUE(CS23),""),IFERROR(VALUE(CZ23),""),IFERROR(VALUE(DG23),"")),"")</f>
        <v>0.5676666667</v>
      </c>
      <c r="EU23" s="272">
        <f t="shared" si="84"/>
        <v>0.1313333333</v>
      </c>
      <c r="EV23" s="51">
        <v>0.627</v>
      </c>
      <c r="EW23" s="51">
        <v>0.143</v>
      </c>
    </row>
    <row r="24">
      <c r="A24" s="52"/>
      <c r="B24" s="53" t="s">
        <v>598</v>
      </c>
      <c r="C24" s="25">
        <v>0.873</v>
      </c>
      <c r="D24" s="26" t="s">
        <v>77</v>
      </c>
      <c r="E24" s="26" t="s">
        <v>330</v>
      </c>
      <c r="F24" s="26" t="s">
        <v>587</v>
      </c>
      <c r="G24" s="26" t="s">
        <v>120</v>
      </c>
      <c r="H24" s="26">
        <v>0.326</v>
      </c>
      <c r="I24" s="26" t="s">
        <v>599</v>
      </c>
      <c r="J24" s="26" t="s">
        <v>459</v>
      </c>
      <c r="K24" s="26" t="s">
        <v>600</v>
      </c>
      <c r="L24" s="26" t="s">
        <v>266</v>
      </c>
      <c r="M24" s="26">
        <v>0.791</v>
      </c>
      <c r="N24" s="26" t="s">
        <v>176</v>
      </c>
      <c r="O24" s="26" t="s">
        <v>222</v>
      </c>
      <c r="P24" s="26" t="s">
        <v>601</v>
      </c>
      <c r="Q24" s="26" t="s">
        <v>602</v>
      </c>
      <c r="R24" s="26">
        <v>0.655</v>
      </c>
      <c r="S24" s="26" t="s">
        <v>282</v>
      </c>
      <c r="T24" s="26" t="s">
        <v>138</v>
      </c>
      <c r="U24" s="26" t="s">
        <v>603</v>
      </c>
      <c r="V24" s="26" t="s">
        <v>604</v>
      </c>
      <c r="W24" s="26">
        <v>0.755</v>
      </c>
      <c r="X24" s="26" t="s">
        <v>271</v>
      </c>
      <c r="Y24" s="26" t="s">
        <v>601</v>
      </c>
      <c r="Z24" s="26" t="s">
        <v>605</v>
      </c>
      <c r="AA24" s="26" t="s">
        <v>606</v>
      </c>
      <c r="AB24" s="26">
        <v>0.853</v>
      </c>
      <c r="AC24" s="26" t="s">
        <v>358</v>
      </c>
      <c r="AD24" s="26" t="s">
        <v>440</v>
      </c>
      <c r="AE24" s="26" t="s">
        <v>607</v>
      </c>
      <c r="AF24" s="27" t="s">
        <v>608</v>
      </c>
      <c r="AG24" s="26">
        <v>0.475</v>
      </c>
      <c r="AH24" s="26" t="s">
        <v>609</v>
      </c>
      <c r="AI24" s="26" t="s">
        <v>610</v>
      </c>
      <c r="AJ24" s="26">
        <v>0.103</v>
      </c>
      <c r="AK24" s="26" t="s">
        <v>186</v>
      </c>
      <c r="AL24" s="26" t="s">
        <v>611</v>
      </c>
      <c r="AM24" s="26">
        <v>0.569</v>
      </c>
      <c r="AN24" s="26" t="s">
        <v>427</v>
      </c>
      <c r="AO24" s="26" t="s">
        <v>289</v>
      </c>
      <c r="AP24" s="26">
        <v>0.155</v>
      </c>
      <c r="AQ24" s="26" t="s">
        <v>128</v>
      </c>
      <c r="AR24" s="26" t="s">
        <v>607</v>
      </c>
      <c r="AS24" s="26">
        <v>0.275</v>
      </c>
      <c r="AT24" s="26" t="s">
        <v>490</v>
      </c>
      <c r="AU24" s="26" t="s">
        <v>58</v>
      </c>
      <c r="AV24" s="28">
        <v>0.188</v>
      </c>
      <c r="AW24" s="26" t="s">
        <v>62</v>
      </c>
      <c r="AX24" s="26" t="s">
        <v>144</v>
      </c>
      <c r="AY24" s="29">
        <v>0.065</v>
      </c>
      <c r="AZ24" s="26" t="s">
        <v>94</v>
      </c>
      <c r="BA24" s="26" t="s">
        <v>145</v>
      </c>
      <c r="BB24" s="29">
        <v>0.113</v>
      </c>
      <c r="BC24" s="26" t="s">
        <v>146</v>
      </c>
      <c r="BD24" s="26" t="s">
        <v>147</v>
      </c>
      <c r="BE24" s="29">
        <v>0.303</v>
      </c>
      <c r="BF24" s="26" t="s">
        <v>148</v>
      </c>
      <c r="BG24" s="26" t="s">
        <v>128</v>
      </c>
      <c r="BH24" s="29">
        <v>0.185</v>
      </c>
      <c r="BI24" s="26" t="s">
        <v>149</v>
      </c>
      <c r="BJ24" s="26" t="s">
        <v>150</v>
      </c>
      <c r="BK24" s="29">
        <v>0.158</v>
      </c>
      <c r="BL24" s="30">
        <v>0.734</v>
      </c>
      <c r="BM24" s="30">
        <v>0.813</v>
      </c>
      <c r="BN24" s="29">
        <v>0.147</v>
      </c>
      <c r="BO24" s="30">
        <v>0.708</v>
      </c>
      <c r="BP24" s="30">
        <v>0.842</v>
      </c>
      <c r="BQ24" s="26"/>
      <c r="BR24" s="26"/>
      <c r="BS24" s="27"/>
      <c r="BT24" s="26">
        <v>0.792</v>
      </c>
      <c r="BU24" s="26" t="s">
        <v>214</v>
      </c>
      <c r="BV24" s="26" t="s">
        <v>335</v>
      </c>
      <c r="BW24" s="26" t="s">
        <v>612</v>
      </c>
      <c r="BX24" s="26" t="s">
        <v>387</v>
      </c>
      <c r="BY24" s="26">
        <v>0.815</v>
      </c>
      <c r="BZ24" s="26" t="s">
        <v>233</v>
      </c>
      <c r="CA24" s="26" t="s">
        <v>286</v>
      </c>
      <c r="CB24" s="26" t="s">
        <v>613</v>
      </c>
      <c r="CC24" s="26" t="s">
        <v>614</v>
      </c>
      <c r="CD24" s="26" t="s">
        <v>615</v>
      </c>
      <c r="CE24" s="26" t="s">
        <v>612</v>
      </c>
      <c r="CF24" s="26" t="s">
        <v>616</v>
      </c>
      <c r="CG24" s="26" t="s">
        <v>314</v>
      </c>
      <c r="CH24" s="29">
        <v>0.9836400818</v>
      </c>
      <c r="CI24" s="29">
        <v>0.977131647</v>
      </c>
      <c r="CJ24" s="29">
        <v>0.9905419223</v>
      </c>
      <c r="CK24" s="29">
        <v>0.846962331</v>
      </c>
      <c r="CL24" s="29">
        <v>0.6351495797</v>
      </c>
      <c r="CM24" s="31">
        <v>0.646</v>
      </c>
      <c r="CN24" s="31">
        <v>0.687</v>
      </c>
      <c r="CO24" s="31">
        <v>0.321</v>
      </c>
      <c r="CP24" s="31">
        <v>0.099</v>
      </c>
      <c r="CQ24" s="28">
        <v>0.651</v>
      </c>
      <c r="CR24" s="29">
        <v>0.905</v>
      </c>
      <c r="CS24" s="29">
        <v>0.547</v>
      </c>
      <c r="CT24" s="29">
        <v>0.133</v>
      </c>
      <c r="CU24" s="29">
        <v>0.28</v>
      </c>
      <c r="CV24" s="29">
        <v>0.091</v>
      </c>
      <c r="CW24" s="29">
        <v>0.2</v>
      </c>
      <c r="CX24" s="29">
        <v>0.929</v>
      </c>
      <c r="CY24" s="29">
        <v>0.958</v>
      </c>
      <c r="CZ24" s="29">
        <v>0.575</v>
      </c>
      <c r="DA24" s="29">
        <v>0.12</v>
      </c>
      <c r="DB24" s="29">
        <v>0.821</v>
      </c>
      <c r="DC24" s="29">
        <v>0.635</v>
      </c>
      <c r="DD24" s="29">
        <v>0.152</v>
      </c>
      <c r="DE24" s="29">
        <v>0.701</v>
      </c>
      <c r="DF24" s="29">
        <v>0.85</v>
      </c>
      <c r="DG24" s="29">
        <v>0.487</v>
      </c>
      <c r="DH24" s="29">
        <v>0.1</v>
      </c>
      <c r="DI24" s="29">
        <v>0.32</v>
      </c>
      <c r="DJ24" s="29">
        <v>0.18</v>
      </c>
      <c r="DK24" s="29">
        <v>0.109</v>
      </c>
      <c r="DL24" s="29">
        <v>0.929</v>
      </c>
      <c r="DM24" s="29" t="s">
        <v>247</v>
      </c>
      <c r="DN24" s="29" t="s">
        <v>360</v>
      </c>
      <c r="DO24" s="29" t="s">
        <v>617</v>
      </c>
      <c r="DP24" s="32" t="s">
        <v>618</v>
      </c>
      <c r="DQ24" s="29">
        <v>0.234</v>
      </c>
      <c r="DR24" s="29">
        <v>0.659</v>
      </c>
      <c r="DS24" s="29">
        <v>0.845</v>
      </c>
      <c r="DT24" s="29">
        <v>0.223</v>
      </c>
      <c r="DU24" s="29">
        <v>0.082</v>
      </c>
      <c r="DZ24" s="108">
        <f t="shared" ref="DZ24:ED24" si="85">IFERROR(AVERAGE(IFERROR(VALUE(C24),""),IFERROR(VALUE(H24),""),IFERROR(VALUE(M24),""),IFERROR(VALUE(R24),""),IFERROR(VALUE(W24),""),IFERROR(VALUE(AB24),"")),"")</f>
        <v>0.7088333333</v>
      </c>
      <c r="EA24" s="42">
        <f t="shared" si="85"/>
        <v>0.7036666667</v>
      </c>
      <c r="EB24" s="273">
        <f t="shared" si="85"/>
        <v>0.5566666667</v>
      </c>
      <c r="EC24" s="274">
        <f t="shared" si="85"/>
        <v>0.4478333333</v>
      </c>
      <c r="ED24" s="275">
        <f t="shared" si="85"/>
        <v>0.1641666667</v>
      </c>
      <c r="EE24" s="73">
        <f t="shared" ref="EE24:EG24" si="86">IFERROR(AVERAGE(IFERROR(VALUE(AG24),""),IFERROR(VALUE(AJ24),""),IFERROR(VALUE(AM24),""),IFERROR(VALUE(AP24),""),IFERROR(VALUE(AS24),"")),"")</f>
        <v>0.3154</v>
      </c>
      <c r="EF24" s="276">
        <f t="shared" si="86"/>
        <v>0.6938</v>
      </c>
      <c r="EG24" s="277">
        <f t="shared" si="86"/>
        <v>0.6584</v>
      </c>
      <c r="EH24" s="278">
        <v>0.677</v>
      </c>
      <c r="EI24" s="279">
        <v>0.81</v>
      </c>
      <c r="EJ24" s="280">
        <f t="shared" si="77"/>
        <v>0.8635466939</v>
      </c>
      <c r="EK24" s="92">
        <f t="shared" si="78"/>
        <v>0.7880329118</v>
      </c>
      <c r="EL24" s="170">
        <f t="shared" si="79"/>
        <v>0.7718854806</v>
      </c>
      <c r="EM24" s="55">
        <f t="shared" si="80"/>
        <v>0.5124905828</v>
      </c>
      <c r="EN24" s="281">
        <f t="shared" si="81"/>
        <v>0.2997873949</v>
      </c>
      <c r="EO24" s="33">
        <v>0.929</v>
      </c>
      <c r="EP24" s="34">
        <f t="shared" ref="EP24:EQ24" si="87">IFERROR(AVERAGE(IFERROR(VALUE(CQ24),""),IFERROR(VALUE(CX24),""),IFERROR(VALUE(DE24),""),IFERROR(VALUE(DM24),"")),"")</f>
        <v>0.77925</v>
      </c>
      <c r="EQ24" s="282">
        <f t="shared" si="87"/>
        <v>0.9185</v>
      </c>
      <c r="ER24" s="42">
        <f t="shared" ref="ER24:ES24" si="88">IFERROR(AVERAGE(IFERROR(VALUE(CU24),""),IFERROR(VALUE(DB24),""),IFERROR(VALUE(DI24),""),IFERROR(VALUE(DO24),"")),"")</f>
        <v>0.4875</v>
      </c>
      <c r="ES24" s="283">
        <f t="shared" si="88"/>
        <v>0.33825</v>
      </c>
      <c r="ET24" s="284">
        <f t="shared" ref="ET24:EU24" si="89">IFERROR(AVERAGE(IFERROR(VALUE(CS24),""),IFERROR(VALUE(CZ24),""),IFERROR(VALUE(DG24),"")),"")</f>
        <v>0.5363333333</v>
      </c>
      <c r="EU24" s="285">
        <f t="shared" si="89"/>
        <v>0.1176666667</v>
      </c>
      <c r="EV24" s="51">
        <v>0.611</v>
      </c>
      <c r="EW24" s="51">
        <v>0.166</v>
      </c>
    </row>
    <row r="25">
      <c r="A25" s="52"/>
      <c r="B25" s="142" t="s">
        <v>619</v>
      </c>
      <c r="C25" s="25">
        <v>0.935</v>
      </c>
      <c r="D25" s="26" t="s">
        <v>620</v>
      </c>
      <c r="E25" s="26" t="s">
        <v>621</v>
      </c>
      <c r="F25" s="26" t="s">
        <v>441</v>
      </c>
      <c r="G25" s="26" t="s">
        <v>544</v>
      </c>
      <c r="H25" s="26">
        <v>0.798</v>
      </c>
      <c r="I25" s="26" t="s">
        <v>302</v>
      </c>
      <c r="J25" s="26" t="s">
        <v>591</v>
      </c>
      <c r="K25" s="26" t="s">
        <v>622</v>
      </c>
      <c r="L25" s="26" t="s">
        <v>623</v>
      </c>
      <c r="M25" s="26">
        <v>0.775</v>
      </c>
      <c r="N25" s="26" t="s">
        <v>62</v>
      </c>
      <c r="O25" s="26" t="s">
        <v>624</v>
      </c>
      <c r="P25" s="26" t="s">
        <v>625</v>
      </c>
      <c r="Q25" s="26" t="s">
        <v>626</v>
      </c>
      <c r="R25" s="26">
        <v>0.696</v>
      </c>
      <c r="S25" s="26" t="s">
        <v>627</v>
      </c>
      <c r="T25" s="26" t="s">
        <v>628</v>
      </c>
      <c r="U25" s="26" t="s">
        <v>629</v>
      </c>
      <c r="V25" s="26" t="s">
        <v>480</v>
      </c>
      <c r="W25" s="26">
        <v>0.942</v>
      </c>
      <c r="X25" s="26" t="s">
        <v>524</v>
      </c>
      <c r="Y25" s="26" t="s">
        <v>439</v>
      </c>
      <c r="Z25" s="26" t="s">
        <v>364</v>
      </c>
      <c r="AA25" s="26" t="s">
        <v>561</v>
      </c>
      <c r="AB25" s="26">
        <v>0.897</v>
      </c>
      <c r="AC25" s="26" t="s">
        <v>630</v>
      </c>
      <c r="AD25" s="26" t="s">
        <v>254</v>
      </c>
      <c r="AE25" s="26" t="s">
        <v>631</v>
      </c>
      <c r="AF25" s="27" t="s">
        <v>100</v>
      </c>
      <c r="AG25" s="26">
        <v>0.555</v>
      </c>
      <c r="AH25" s="26" t="s">
        <v>200</v>
      </c>
      <c r="AI25" s="26" t="s">
        <v>632</v>
      </c>
      <c r="AJ25" s="26">
        <v>0.109</v>
      </c>
      <c r="AK25" s="26" t="s">
        <v>556</v>
      </c>
      <c r="AL25" s="26" t="s">
        <v>633</v>
      </c>
      <c r="AM25" s="26">
        <v>0.536</v>
      </c>
      <c r="AN25" s="26" t="s">
        <v>159</v>
      </c>
      <c r="AO25" s="26" t="s">
        <v>634</v>
      </c>
      <c r="AP25" s="26">
        <v>0.303</v>
      </c>
      <c r="AQ25" s="26" t="s">
        <v>262</v>
      </c>
      <c r="AR25" s="26" t="s">
        <v>208</v>
      </c>
      <c r="AS25" s="26">
        <v>0.448</v>
      </c>
      <c r="AT25" s="26" t="s">
        <v>141</v>
      </c>
      <c r="AU25" s="26" t="s">
        <v>361</v>
      </c>
      <c r="AV25" s="28">
        <v>0.304</v>
      </c>
      <c r="AW25" s="26" t="s">
        <v>154</v>
      </c>
      <c r="AX25" s="26" t="s">
        <v>635</v>
      </c>
      <c r="AY25" s="29">
        <v>0.15</v>
      </c>
      <c r="AZ25" s="26" t="s">
        <v>569</v>
      </c>
      <c r="BA25" s="26" t="s">
        <v>91</v>
      </c>
      <c r="BB25" s="29">
        <v>0.279</v>
      </c>
      <c r="BC25" s="26" t="s">
        <v>247</v>
      </c>
      <c r="BD25" s="26" t="s">
        <v>366</v>
      </c>
      <c r="BE25" s="29">
        <v>0.496</v>
      </c>
      <c r="BF25" s="26" t="s">
        <v>513</v>
      </c>
      <c r="BG25" s="26" t="s">
        <v>636</v>
      </c>
      <c r="BH25" s="29">
        <v>0.349</v>
      </c>
      <c r="BI25" s="26" t="s">
        <v>137</v>
      </c>
      <c r="BJ25" s="26" t="s">
        <v>370</v>
      </c>
      <c r="BK25" s="29">
        <v>0.213</v>
      </c>
      <c r="BL25" s="30">
        <v>0.781</v>
      </c>
      <c r="BM25" s="30">
        <v>0.855</v>
      </c>
      <c r="BN25" s="29">
        <v>0.226</v>
      </c>
      <c r="BO25" s="30">
        <v>0.766</v>
      </c>
      <c r="BP25" s="30">
        <v>0.857</v>
      </c>
      <c r="BQ25" s="26"/>
      <c r="BR25" s="26"/>
      <c r="BS25" s="27"/>
      <c r="BT25" s="26">
        <v>0.839</v>
      </c>
      <c r="BU25" s="26" t="s">
        <v>205</v>
      </c>
      <c r="BV25" s="26" t="s">
        <v>401</v>
      </c>
      <c r="BW25" s="26" t="s">
        <v>159</v>
      </c>
      <c r="BX25" s="26" t="s">
        <v>72</v>
      </c>
      <c r="BY25" s="26">
        <v>0.892</v>
      </c>
      <c r="BZ25" s="26" t="s">
        <v>637</v>
      </c>
      <c r="CA25" s="26" t="s">
        <v>382</v>
      </c>
      <c r="CB25" s="26" t="s">
        <v>638</v>
      </c>
      <c r="CC25" s="26" t="s">
        <v>639</v>
      </c>
      <c r="CD25" s="26" t="s">
        <v>301</v>
      </c>
      <c r="CE25" s="26" t="s">
        <v>436</v>
      </c>
      <c r="CF25" s="26" t="s">
        <v>193</v>
      </c>
      <c r="CG25" s="26" t="s">
        <v>640</v>
      </c>
      <c r="CH25" s="29">
        <v>0.9539877301</v>
      </c>
      <c r="CI25" s="29">
        <v>0.8795869244</v>
      </c>
      <c r="CJ25" s="29">
        <v>0.9289366053</v>
      </c>
      <c r="CK25" s="29">
        <v>0.6753032505</v>
      </c>
      <c r="CL25" s="29">
        <v>0.3941974477</v>
      </c>
      <c r="CM25" s="31">
        <v>0.735</v>
      </c>
      <c r="CN25" s="225">
        <v>0.783</v>
      </c>
      <c r="CO25" s="31">
        <v>0.448</v>
      </c>
      <c r="CP25" s="225">
        <v>0.181</v>
      </c>
      <c r="CQ25" s="28">
        <v>0.802</v>
      </c>
      <c r="CR25" s="29">
        <v>0.955</v>
      </c>
      <c r="CS25" s="29">
        <v>0.558</v>
      </c>
      <c r="CT25" s="29">
        <v>0.145</v>
      </c>
      <c r="CU25" s="29">
        <v>0.675</v>
      </c>
      <c r="CV25" s="29">
        <v>0.444</v>
      </c>
      <c r="CW25" s="29">
        <v>0.235</v>
      </c>
      <c r="CX25" s="29">
        <v>0.954</v>
      </c>
      <c r="CY25" s="29">
        <v>0.988</v>
      </c>
      <c r="CZ25" s="29">
        <v>0.722</v>
      </c>
      <c r="DA25" s="29">
        <v>0.375</v>
      </c>
      <c r="DB25" s="29">
        <v>0.922</v>
      </c>
      <c r="DC25" s="29">
        <v>0.838</v>
      </c>
      <c r="DD25" s="29">
        <v>0.339</v>
      </c>
      <c r="DE25" s="29">
        <v>0.634</v>
      </c>
      <c r="DF25" s="29">
        <v>0.815</v>
      </c>
      <c r="DG25" s="29">
        <v>0.57</v>
      </c>
      <c r="DH25" s="29">
        <v>0.434</v>
      </c>
      <c r="DI25" s="29">
        <v>0.23</v>
      </c>
      <c r="DJ25" s="29">
        <v>0.082</v>
      </c>
      <c r="DK25" s="29">
        <v>0.39</v>
      </c>
      <c r="DL25" s="29">
        <v>0.972</v>
      </c>
      <c r="DM25" s="29" t="s">
        <v>641</v>
      </c>
      <c r="DN25" s="29" t="s">
        <v>163</v>
      </c>
      <c r="DO25" s="29" t="s">
        <v>642</v>
      </c>
      <c r="DP25" s="32" t="s">
        <v>70</v>
      </c>
      <c r="DQ25" s="29">
        <v>0.515</v>
      </c>
      <c r="DR25" s="29">
        <v>0.673</v>
      </c>
      <c r="DS25" s="29">
        <v>0.835</v>
      </c>
      <c r="DT25" s="29">
        <v>0.257</v>
      </c>
      <c r="DU25" s="29">
        <v>0.111</v>
      </c>
      <c r="DZ25" s="286">
        <f t="shared" ref="DZ25:ED25" si="90">IFERROR(AVERAGE(IFERROR(VALUE(C25),""),IFERROR(VALUE(H25),""),IFERROR(VALUE(M25),""),IFERROR(VALUE(R25),""),IFERROR(VALUE(W25),""),IFERROR(VALUE(AB25),"")),"")</f>
        <v>0.8405</v>
      </c>
      <c r="EA25" s="287">
        <f t="shared" si="90"/>
        <v>0.811</v>
      </c>
      <c r="EB25" s="288">
        <f t="shared" si="90"/>
        <v>0.738</v>
      </c>
      <c r="EC25" s="289">
        <f t="shared" si="90"/>
        <v>0.5943333333</v>
      </c>
      <c r="ED25" s="290">
        <f t="shared" si="90"/>
        <v>0.3426666667</v>
      </c>
      <c r="EE25" s="291">
        <f t="shared" ref="EE25:EG25" si="91">IFERROR(AVERAGE(IFERROR(VALUE(AG25),""),IFERROR(VALUE(AJ25),""),IFERROR(VALUE(AM25),""),IFERROR(VALUE(AP25),""),IFERROR(VALUE(AS25),"")),"")</f>
        <v>0.3902</v>
      </c>
      <c r="EF25" s="271">
        <f t="shared" si="91"/>
        <v>0.7194</v>
      </c>
      <c r="EG25" s="292">
        <f t="shared" si="91"/>
        <v>0.6318</v>
      </c>
      <c r="EH25" s="68">
        <v>0.726</v>
      </c>
      <c r="EI25" s="37">
        <v>0.849</v>
      </c>
      <c r="EJ25" s="293">
        <f t="shared" si="77"/>
        <v>0.89499591</v>
      </c>
      <c r="EK25" s="294">
        <f t="shared" si="78"/>
        <v>0.7886467311</v>
      </c>
      <c r="EL25" s="295">
        <f t="shared" si="79"/>
        <v>0.7922341513</v>
      </c>
      <c r="EM25" s="296">
        <f t="shared" si="80"/>
        <v>0.5160758126</v>
      </c>
      <c r="EN25" s="57">
        <f t="shared" si="81"/>
        <v>0.2737993619</v>
      </c>
      <c r="EO25" s="297">
        <v>0.972</v>
      </c>
      <c r="EP25" s="254">
        <f t="shared" ref="EP25:EQ25" si="92">IFERROR(AVERAGE(IFERROR(VALUE(CQ25),""),IFERROR(VALUE(CX25),""),IFERROR(VALUE(DE25),""),IFERROR(VALUE(DM25),"")),"")</f>
        <v>0.81575</v>
      </c>
      <c r="EQ25" s="229">
        <f t="shared" si="92"/>
        <v>0.92225</v>
      </c>
      <c r="ER25" s="298">
        <f t="shared" ref="ER25:ES25" si="93">IFERROR(AVERAGE(IFERROR(VALUE(CU25),""),IFERROR(VALUE(DB25),""),IFERROR(VALUE(DI25),""),IFERROR(VALUE(DO25),"")),"")</f>
        <v>0.62875</v>
      </c>
      <c r="ES25" s="299">
        <f t="shared" si="93"/>
        <v>0.50275</v>
      </c>
      <c r="ET25" s="231">
        <f t="shared" ref="ET25:EU25" si="94">IFERROR(AVERAGE(IFERROR(VALUE(CS25),""),IFERROR(VALUE(CZ25),""),IFERROR(VALUE(DG25),"")),"")</f>
        <v>0.6166666667</v>
      </c>
      <c r="EU25" s="300">
        <f t="shared" si="94"/>
        <v>0.318</v>
      </c>
      <c r="EV25" s="51">
        <v>0.682</v>
      </c>
      <c r="EW25" s="51">
        <v>0.288</v>
      </c>
    </row>
    <row r="26">
      <c r="A26" s="52"/>
      <c r="B26" s="142" t="s">
        <v>643</v>
      </c>
      <c r="C26" s="25">
        <v>0.914</v>
      </c>
      <c r="D26" s="26" t="s">
        <v>644</v>
      </c>
      <c r="E26" s="26" t="s">
        <v>645</v>
      </c>
      <c r="F26" s="26" t="s">
        <v>646</v>
      </c>
      <c r="G26" s="26" t="s">
        <v>404</v>
      </c>
      <c r="H26" s="26">
        <v>0.789</v>
      </c>
      <c r="I26" s="26" t="s">
        <v>163</v>
      </c>
      <c r="J26" s="26" t="s">
        <v>231</v>
      </c>
      <c r="K26" s="26" t="s">
        <v>204</v>
      </c>
      <c r="L26" s="26" t="s">
        <v>498</v>
      </c>
      <c r="M26" s="26">
        <v>0.789</v>
      </c>
      <c r="N26" s="26" t="s">
        <v>123</v>
      </c>
      <c r="O26" s="26" t="s">
        <v>647</v>
      </c>
      <c r="P26" s="26" t="s">
        <v>351</v>
      </c>
      <c r="Q26" s="26" t="s">
        <v>217</v>
      </c>
      <c r="R26" s="26">
        <v>0.681</v>
      </c>
      <c r="S26" s="26" t="s">
        <v>88</v>
      </c>
      <c r="T26" s="26" t="s">
        <v>648</v>
      </c>
      <c r="U26" s="26" t="s">
        <v>157</v>
      </c>
      <c r="V26" s="26" t="s">
        <v>649</v>
      </c>
      <c r="W26" s="26">
        <v>0.906</v>
      </c>
      <c r="X26" s="26" t="s">
        <v>524</v>
      </c>
      <c r="Y26" s="26" t="s">
        <v>483</v>
      </c>
      <c r="Z26" s="26" t="s">
        <v>364</v>
      </c>
      <c r="AA26" s="26" t="s">
        <v>597</v>
      </c>
      <c r="AB26" s="26">
        <v>0.912</v>
      </c>
      <c r="AC26" s="26" t="s">
        <v>215</v>
      </c>
      <c r="AD26" s="26" t="s">
        <v>650</v>
      </c>
      <c r="AE26" s="26" t="s">
        <v>495</v>
      </c>
      <c r="AF26" s="27" t="s">
        <v>260</v>
      </c>
      <c r="AG26" s="26">
        <v>0.566</v>
      </c>
      <c r="AH26" s="26" t="s">
        <v>651</v>
      </c>
      <c r="AI26" s="26" t="s">
        <v>652</v>
      </c>
      <c r="AJ26" s="26">
        <v>0.118</v>
      </c>
      <c r="AK26" s="26" t="s">
        <v>479</v>
      </c>
      <c r="AL26" s="26" t="s">
        <v>653</v>
      </c>
      <c r="AM26" s="26">
        <v>0.527</v>
      </c>
      <c r="AN26" s="26" t="s">
        <v>564</v>
      </c>
      <c r="AO26" s="26" t="s">
        <v>255</v>
      </c>
      <c r="AP26" s="26">
        <v>0.366</v>
      </c>
      <c r="AQ26" s="26" t="s">
        <v>637</v>
      </c>
      <c r="AR26" s="26" t="s">
        <v>233</v>
      </c>
      <c r="AS26" s="26">
        <v>0.465</v>
      </c>
      <c r="AT26" s="26" t="s">
        <v>654</v>
      </c>
      <c r="AU26" s="26" t="s">
        <v>324</v>
      </c>
      <c r="AV26" s="28">
        <v>0.322</v>
      </c>
      <c r="AW26" s="26" t="s">
        <v>135</v>
      </c>
      <c r="AX26" s="26" t="s">
        <v>635</v>
      </c>
      <c r="AY26" s="29">
        <v>0.152</v>
      </c>
      <c r="AZ26" s="26" t="s">
        <v>282</v>
      </c>
      <c r="BA26" s="26" t="s">
        <v>492</v>
      </c>
      <c r="BB26" s="29">
        <v>0.257</v>
      </c>
      <c r="BC26" s="26" t="s">
        <v>391</v>
      </c>
      <c r="BD26" s="26" t="s">
        <v>140</v>
      </c>
      <c r="BE26" s="29">
        <v>0.493</v>
      </c>
      <c r="BF26" s="26" t="s">
        <v>513</v>
      </c>
      <c r="BG26" s="26" t="s">
        <v>396</v>
      </c>
      <c r="BH26" s="29">
        <v>0.404</v>
      </c>
      <c r="BI26" s="26" t="s">
        <v>164</v>
      </c>
      <c r="BJ26" s="26" t="s">
        <v>594</v>
      </c>
      <c r="BK26" s="29">
        <v>0.221</v>
      </c>
      <c r="BL26" s="30">
        <v>0.796</v>
      </c>
      <c r="BM26" s="30">
        <v>0.858</v>
      </c>
      <c r="BN26" s="29">
        <v>0.211</v>
      </c>
      <c r="BO26" s="29">
        <v>0.786</v>
      </c>
      <c r="BP26" s="29">
        <v>0.856</v>
      </c>
      <c r="BQ26" s="26"/>
      <c r="BR26" s="26"/>
      <c r="BS26" s="27"/>
      <c r="BT26" s="26">
        <v>0.834</v>
      </c>
      <c r="BU26" s="26" t="s">
        <v>162</v>
      </c>
      <c r="BV26" s="26" t="s">
        <v>242</v>
      </c>
      <c r="BW26" s="26" t="s">
        <v>548</v>
      </c>
      <c r="BX26" s="26" t="s">
        <v>623</v>
      </c>
      <c r="BY26" s="26">
        <v>0.894</v>
      </c>
      <c r="BZ26" s="26" t="s">
        <v>123</v>
      </c>
      <c r="CA26" s="26" t="s">
        <v>409</v>
      </c>
      <c r="CB26" s="26" t="s">
        <v>596</v>
      </c>
      <c r="CC26" s="26" t="s">
        <v>655</v>
      </c>
      <c r="CD26" s="26" t="s">
        <v>246</v>
      </c>
      <c r="CE26" s="26" t="s">
        <v>656</v>
      </c>
      <c r="CF26" s="26" t="s">
        <v>657</v>
      </c>
      <c r="CG26" s="26" t="s">
        <v>653</v>
      </c>
      <c r="CH26" s="29">
        <v>0.9440184049</v>
      </c>
      <c r="CI26" s="29">
        <v>0.8966524559</v>
      </c>
      <c r="CJ26" s="29">
        <v>0.9148773006</v>
      </c>
      <c r="CK26" s="29">
        <v>0.6807560083</v>
      </c>
      <c r="CL26" s="29">
        <v>0.3672806771</v>
      </c>
      <c r="CM26" s="31">
        <v>0.746</v>
      </c>
      <c r="CN26" s="31">
        <v>0.78</v>
      </c>
      <c r="CO26" s="225">
        <v>0.457</v>
      </c>
      <c r="CP26" s="31">
        <v>0.167</v>
      </c>
      <c r="CQ26" s="28">
        <v>0.811</v>
      </c>
      <c r="CR26" s="29">
        <v>0.93</v>
      </c>
      <c r="CS26" s="29">
        <v>0.574</v>
      </c>
      <c r="CT26" s="29">
        <v>0.191</v>
      </c>
      <c r="CU26" s="29">
        <v>0.701</v>
      </c>
      <c r="CV26" s="29">
        <v>0.505</v>
      </c>
      <c r="CW26" s="29">
        <v>0.225</v>
      </c>
      <c r="CX26" s="29">
        <v>0.954</v>
      </c>
      <c r="CY26" s="29">
        <v>0.995</v>
      </c>
      <c r="CZ26" s="29">
        <v>0.755</v>
      </c>
      <c r="DA26" s="29">
        <v>0.361</v>
      </c>
      <c r="DB26" s="29">
        <v>0.892</v>
      </c>
      <c r="DC26" s="29">
        <v>0.759</v>
      </c>
      <c r="DD26" s="29">
        <v>0.413</v>
      </c>
      <c r="DE26" s="29">
        <v>0.632</v>
      </c>
      <c r="DF26" s="29">
        <v>0.815</v>
      </c>
      <c r="DG26" s="29">
        <v>0.58</v>
      </c>
      <c r="DH26" s="29">
        <v>0.459</v>
      </c>
      <c r="DI26" s="29">
        <v>0.213</v>
      </c>
      <c r="DJ26" s="29">
        <v>0.076</v>
      </c>
      <c r="DK26" s="29">
        <v>0.428</v>
      </c>
      <c r="DL26" s="29">
        <v>0.977</v>
      </c>
      <c r="DM26" s="29" t="s">
        <v>286</v>
      </c>
      <c r="DN26" s="29" t="s">
        <v>134</v>
      </c>
      <c r="DO26" s="29" t="s">
        <v>350</v>
      </c>
      <c r="DP26" s="32" t="s">
        <v>658</v>
      </c>
      <c r="DQ26" s="29">
        <v>0.568</v>
      </c>
      <c r="DR26" s="29">
        <v>0.664</v>
      </c>
      <c r="DS26" s="29">
        <v>0.832</v>
      </c>
      <c r="DT26" s="29">
        <v>0.287</v>
      </c>
      <c r="DU26" s="29">
        <v>0.13</v>
      </c>
      <c r="DZ26" s="301">
        <f t="shared" ref="DZ26:ED26" si="95">IFERROR(AVERAGE(IFERROR(VALUE(C26),""),IFERROR(VALUE(H26),""),IFERROR(VALUE(M26),""),IFERROR(VALUE(R26),""),IFERROR(VALUE(W26),""),IFERROR(VALUE(AB26),"")),"")</f>
        <v>0.8318333333</v>
      </c>
      <c r="EA26" s="138">
        <f t="shared" si="95"/>
        <v>0.813</v>
      </c>
      <c r="EB26" s="138">
        <f t="shared" si="95"/>
        <v>0.7463333333</v>
      </c>
      <c r="EC26" s="302">
        <f t="shared" si="95"/>
        <v>0.6038333333</v>
      </c>
      <c r="ED26" s="303">
        <f t="shared" si="95"/>
        <v>0.3673333333</v>
      </c>
      <c r="EE26" s="65">
        <f t="shared" ref="EE26:EG26" si="96">IFERROR(AVERAGE(IFERROR(VALUE(AG26),""),IFERROR(VALUE(AJ26),""),IFERROR(VALUE(AM26),""),IFERROR(VALUE(AP26),""),IFERROR(VALUE(AS26),"")),"")</f>
        <v>0.4084</v>
      </c>
      <c r="EF26" s="138">
        <f t="shared" si="96"/>
        <v>0.7258</v>
      </c>
      <c r="EG26" s="304">
        <f t="shared" si="96"/>
        <v>0.6396</v>
      </c>
      <c r="EH26" s="138">
        <v>0.732</v>
      </c>
      <c r="EI26" s="305">
        <v>0.845</v>
      </c>
      <c r="EJ26" s="91">
        <f t="shared" si="77"/>
        <v>0.8906728016</v>
      </c>
      <c r="EK26" s="306">
        <f t="shared" si="78"/>
        <v>0.798163114</v>
      </c>
      <c r="EL26" s="45">
        <f t="shared" si="79"/>
        <v>0.7862193252</v>
      </c>
      <c r="EM26" s="124">
        <f t="shared" si="80"/>
        <v>0.5294390021</v>
      </c>
      <c r="EN26" s="113">
        <f t="shared" si="81"/>
        <v>0.2685701693</v>
      </c>
      <c r="EO26" s="307">
        <v>0.977</v>
      </c>
      <c r="EP26" s="308">
        <f t="shared" ref="EP26:EQ26" si="97">IFERROR(AVERAGE(IFERROR(VALUE(CQ26),""),IFERROR(VALUE(CX26),""),IFERROR(VALUE(DE26),""),IFERROR(VALUE(DM26),"")),"")</f>
        <v>0.81175</v>
      </c>
      <c r="EQ26" s="309">
        <f t="shared" si="97"/>
        <v>0.9195</v>
      </c>
      <c r="ER26" s="105">
        <f t="shared" ref="ER26:ES26" si="98">IFERROR(AVERAGE(IFERROR(VALUE(CU26),""),IFERROR(VALUE(DB26),""),IFERROR(VALUE(DI26),""),IFERROR(VALUE(DO26),"")),"")</f>
        <v>0.61675</v>
      </c>
      <c r="ES26" s="310">
        <f t="shared" si="98"/>
        <v>0.48475</v>
      </c>
      <c r="ET26" s="179">
        <f t="shared" ref="ET26:EU26" si="99">IFERROR(AVERAGE(IFERROR(VALUE(CS26),""),IFERROR(VALUE(CZ26),""),IFERROR(VALUE(DG26),"")),"")</f>
        <v>0.6363333333</v>
      </c>
      <c r="EU26" s="311">
        <f t="shared" si="99"/>
        <v>0.337</v>
      </c>
      <c r="EV26" s="51">
        <v>0.69</v>
      </c>
      <c r="EW26" s="51">
        <v>0.294</v>
      </c>
    </row>
    <row r="27">
      <c r="A27" s="52"/>
      <c r="B27" s="142" t="s">
        <v>659</v>
      </c>
      <c r="C27" s="25">
        <v>0.903</v>
      </c>
      <c r="D27" s="26" t="s">
        <v>75</v>
      </c>
      <c r="E27" s="26" t="s">
        <v>290</v>
      </c>
      <c r="F27" s="26" t="s">
        <v>301</v>
      </c>
      <c r="G27" s="26" t="s">
        <v>128</v>
      </c>
      <c r="H27" s="26">
        <v>0.818</v>
      </c>
      <c r="I27" s="26" t="s">
        <v>660</v>
      </c>
      <c r="J27" s="26" t="s">
        <v>219</v>
      </c>
      <c r="K27" s="26" t="s">
        <v>661</v>
      </c>
      <c r="L27" s="26" t="s">
        <v>319</v>
      </c>
      <c r="M27" s="26">
        <v>0.754</v>
      </c>
      <c r="N27" s="26" t="s">
        <v>368</v>
      </c>
      <c r="O27" s="26" t="s">
        <v>84</v>
      </c>
      <c r="P27" s="26" t="s">
        <v>662</v>
      </c>
      <c r="Q27" s="26" t="s">
        <v>157</v>
      </c>
      <c r="R27" s="26">
        <v>0.657</v>
      </c>
      <c r="S27" s="26" t="s">
        <v>284</v>
      </c>
      <c r="T27" s="26" t="s">
        <v>618</v>
      </c>
      <c r="U27" s="26" t="s">
        <v>663</v>
      </c>
      <c r="V27" s="26" t="s">
        <v>551</v>
      </c>
      <c r="W27" s="26">
        <v>0.871</v>
      </c>
      <c r="X27" s="26" t="s">
        <v>326</v>
      </c>
      <c r="Y27" s="26" t="s">
        <v>87</v>
      </c>
      <c r="Z27" s="26" t="s">
        <v>662</v>
      </c>
      <c r="AA27" s="26" t="s">
        <v>315</v>
      </c>
      <c r="AB27" s="26">
        <v>0.778</v>
      </c>
      <c r="AC27" s="26" t="s">
        <v>91</v>
      </c>
      <c r="AD27" s="26" t="s">
        <v>520</v>
      </c>
      <c r="AE27" s="26" t="s">
        <v>135</v>
      </c>
      <c r="AF27" s="27" t="s">
        <v>664</v>
      </c>
      <c r="AG27" s="26">
        <v>0.516</v>
      </c>
      <c r="AH27" s="26" t="s">
        <v>128</v>
      </c>
      <c r="AI27" s="26" t="s">
        <v>376</v>
      </c>
      <c r="AJ27" s="26">
        <v>0.099</v>
      </c>
      <c r="AK27" s="26" t="s">
        <v>330</v>
      </c>
      <c r="AL27" s="26" t="s">
        <v>592</v>
      </c>
      <c r="AM27" s="26">
        <v>0.546</v>
      </c>
      <c r="AN27" s="26" t="s">
        <v>582</v>
      </c>
      <c r="AO27" s="26" t="s">
        <v>546</v>
      </c>
      <c r="AP27" s="26">
        <v>0.19</v>
      </c>
      <c r="AQ27" s="26" t="s">
        <v>560</v>
      </c>
      <c r="AR27" s="26" t="s">
        <v>665</v>
      </c>
      <c r="AS27" s="26">
        <v>0.415</v>
      </c>
      <c r="AT27" s="26" t="s">
        <v>500</v>
      </c>
      <c r="AU27" s="26" t="s">
        <v>222</v>
      </c>
      <c r="AV27" s="28">
        <v>0.274</v>
      </c>
      <c r="AW27" s="26" t="s">
        <v>666</v>
      </c>
      <c r="AX27" s="26" t="s">
        <v>667</v>
      </c>
      <c r="AY27" s="29">
        <v>0.143</v>
      </c>
      <c r="AZ27" s="26" t="s">
        <v>656</v>
      </c>
      <c r="BA27" s="26" t="s">
        <v>668</v>
      </c>
      <c r="BB27" s="29">
        <v>0.224</v>
      </c>
      <c r="BC27" s="26" t="s">
        <v>132</v>
      </c>
      <c r="BD27" s="26" t="s">
        <v>236</v>
      </c>
      <c r="BE27" s="29">
        <v>0.436</v>
      </c>
      <c r="BF27" s="26" t="s">
        <v>80</v>
      </c>
      <c r="BG27" s="26" t="s">
        <v>455</v>
      </c>
      <c r="BH27" s="29">
        <v>0.283</v>
      </c>
      <c r="BI27" s="26" t="s">
        <v>95</v>
      </c>
      <c r="BJ27" s="26" t="s">
        <v>335</v>
      </c>
      <c r="BK27" s="29">
        <v>0.191</v>
      </c>
      <c r="BL27" s="29">
        <v>0.748</v>
      </c>
      <c r="BM27" s="29">
        <v>0.84</v>
      </c>
      <c r="BN27" s="29">
        <v>0.19</v>
      </c>
      <c r="BO27" s="29">
        <v>0.76</v>
      </c>
      <c r="BP27" s="29">
        <v>0.841</v>
      </c>
      <c r="BQ27" s="26"/>
      <c r="BR27" s="26"/>
      <c r="BS27" s="27"/>
      <c r="BT27" s="26">
        <v>0.923</v>
      </c>
      <c r="BU27" s="26" t="s">
        <v>615</v>
      </c>
      <c r="BV27" s="26" t="s">
        <v>594</v>
      </c>
      <c r="BW27" s="26" t="s">
        <v>386</v>
      </c>
      <c r="BX27" s="26" t="s">
        <v>496</v>
      </c>
      <c r="BY27" s="26">
        <v>0.943</v>
      </c>
      <c r="BZ27" s="26" t="s">
        <v>143</v>
      </c>
      <c r="CA27" s="26" t="s">
        <v>669</v>
      </c>
      <c r="CB27" s="26" t="s">
        <v>498</v>
      </c>
      <c r="CC27" s="26" t="s">
        <v>670</v>
      </c>
      <c r="CD27" s="26" t="s">
        <v>476</v>
      </c>
      <c r="CE27" s="26" t="s">
        <v>287</v>
      </c>
      <c r="CF27" s="26" t="s">
        <v>152</v>
      </c>
      <c r="CG27" s="26" t="s">
        <v>188</v>
      </c>
      <c r="CH27" s="29">
        <v>0.995398773</v>
      </c>
      <c r="CI27" s="29">
        <v>0.9890234858</v>
      </c>
      <c r="CJ27" s="29">
        <v>0.9961656442</v>
      </c>
      <c r="CK27" s="29">
        <v>0.9370619597</v>
      </c>
      <c r="CL27" s="29">
        <v>0.8036468401</v>
      </c>
      <c r="CM27" s="31">
        <v>0.716</v>
      </c>
      <c r="CN27" s="31">
        <v>0.727</v>
      </c>
      <c r="CO27" s="31">
        <v>0.402</v>
      </c>
      <c r="CP27" s="31">
        <v>0.127</v>
      </c>
      <c r="CQ27" s="28">
        <v>0.812</v>
      </c>
      <c r="CR27" s="29">
        <v>0.97</v>
      </c>
      <c r="CS27" s="29">
        <v>0.532</v>
      </c>
      <c r="CT27" s="29">
        <v>0.105</v>
      </c>
      <c r="CU27" s="29">
        <v>0.683</v>
      </c>
      <c r="CV27" s="29">
        <v>0.481</v>
      </c>
      <c r="CW27" s="29">
        <v>0.245</v>
      </c>
      <c r="CX27" s="29">
        <v>0.902</v>
      </c>
      <c r="CY27" s="29">
        <v>0.973</v>
      </c>
      <c r="CZ27" s="29">
        <v>0.702</v>
      </c>
      <c r="DA27" s="29">
        <v>0.356</v>
      </c>
      <c r="DB27" s="29">
        <v>0.809</v>
      </c>
      <c r="DC27" s="29">
        <v>0.682</v>
      </c>
      <c r="DD27" s="29">
        <v>0.474</v>
      </c>
      <c r="DE27" s="29">
        <v>0.641</v>
      </c>
      <c r="DF27" s="29">
        <v>0.815</v>
      </c>
      <c r="DG27" s="29">
        <v>0.572</v>
      </c>
      <c r="DH27" s="29">
        <v>0.341</v>
      </c>
      <c r="DI27" s="29">
        <v>0.252</v>
      </c>
      <c r="DJ27" s="29">
        <v>0.102</v>
      </c>
      <c r="DK27" s="29">
        <v>0.281</v>
      </c>
      <c r="DL27" s="29">
        <v>0.98</v>
      </c>
      <c r="DM27" s="29" t="s">
        <v>671</v>
      </c>
      <c r="DN27" s="29" t="s">
        <v>672</v>
      </c>
      <c r="DO27" s="29" t="s">
        <v>268</v>
      </c>
      <c r="DP27" s="32" t="s">
        <v>535</v>
      </c>
      <c r="DQ27" s="29">
        <v>0.475</v>
      </c>
      <c r="DR27" s="29">
        <v>0.664</v>
      </c>
      <c r="DS27" s="29">
        <v>0.785</v>
      </c>
      <c r="DT27" s="29">
        <v>0.32</v>
      </c>
      <c r="DU27" s="29">
        <v>0.132</v>
      </c>
      <c r="DZ27" s="312">
        <f t="shared" ref="DZ27:ED27" si="100">IFERROR(AVERAGE(IFERROR(VALUE(C27),""),IFERROR(VALUE(H27),""),IFERROR(VALUE(M27),""),IFERROR(VALUE(R27),""),IFERROR(VALUE(W27),""),IFERROR(VALUE(AB27),"")),"")</f>
        <v>0.7968333333</v>
      </c>
      <c r="EA27" s="313">
        <f t="shared" si="100"/>
        <v>0.792</v>
      </c>
      <c r="EB27" s="314">
        <f t="shared" si="100"/>
        <v>0.7073333333</v>
      </c>
      <c r="EC27" s="315">
        <f t="shared" si="100"/>
        <v>0.5621666667</v>
      </c>
      <c r="ED27" s="316">
        <f t="shared" si="100"/>
        <v>0.3266666667</v>
      </c>
      <c r="EE27" s="91">
        <f t="shared" ref="EE27:EG27" si="101">IFERROR(AVERAGE(IFERROR(VALUE(AG27),""),IFERROR(VALUE(AJ27),""),IFERROR(VALUE(AM27),""),IFERROR(VALUE(AP27),""),IFERROR(VALUE(AS27),"")),"")</f>
        <v>0.3532</v>
      </c>
      <c r="EF27" s="38">
        <f t="shared" si="101"/>
        <v>0.6868</v>
      </c>
      <c r="EG27" s="113">
        <f t="shared" si="101"/>
        <v>0.5934</v>
      </c>
      <c r="EH27" s="215">
        <v>0.705</v>
      </c>
      <c r="EI27" s="317">
        <v>0.825</v>
      </c>
      <c r="EJ27" s="318">
        <f t="shared" si="77"/>
        <v>0.953799591</v>
      </c>
      <c r="EK27" s="149">
        <f t="shared" si="78"/>
        <v>0.8062558715</v>
      </c>
      <c r="EL27" s="319">
        <f t="shared" si="79"/>
        <v>0.7907914111</v>
      </c>
      <c r="EM27" s="67">
        <f t="shared" si="80"/>
        <v>0.5650154899</v>
      </c>
      <c r="EN27" s="129">
        <f t="shared" si="81"/>
        <v>0.37416171</v>
      </c>
      <c r="EO27" s="320">
        <v>0.98</v>
      </c>
      <c r="EP27" s="321">
        <f t="shared" ref="EP27:EQ27" si="102">IFERROR(AVERAGE(IFERROR(VALUE(CQ27),""),IFERROR(VALUE(CX27),""),IFERROR(VALUE(DE27),""),IFERROR(VALUE(DM27),"")),"")</f>
        <v>0.80925</v>
      </c>
      <c r="EQ27" s="322">
        <f t="shared" si="102"/>
        <v>0.92625</v>
      </c>
      <c r="ER27" s="299">
        <f t="shared" ref="ER27:ES27" si="103">IFERROR(AVERAGE(IFERROR(VALUE(CU27),""),IFERROR(VALUE(DB27),""),IFERROR(VALUE(DI27),""),IFERROR(VALUE(DO27),"")),"")</f>
        <v>0.61775</v>
      </c>
      <c r="ES27" s="310">
        <f t="shared" si="103"/>
        <v>0.4855</v>
      </c>
      <c r="ET27" s="323">
        <f t="shared" ref="ET27:EU27" si="104">IFERROR(AVERAGE(IFERROR(VALUE(CS27),""),IFERROR(VALUE(CZ27),""),IFERROR(VALUE(DG27),"")),"")</f>
        <v>0.602</v>
      </c>
      <c r="EU27" s="173">
        <f t="shared" si="104"/>
        <v>0.2673333333</v>
      </c>
      <c r="EV27" s="51">
        <v>0.673</v>
      </c>
      <c r="EW27" s="51">
        <v>0.249</v>
      </c>
    </row>
    <row r="28">
      <c r="A28" s="166"/>
      <c r="B28" s="324" t="s">
        <v>673</v>
      </c>
      <c r="C28" s="325">
        <v>0.885</v>
      </c>
      <c r="D28" s="326" t="s">
        <v>395</v>
      </c>
      <c r="E28" s="326" t="s">
        <v>645</v>
      </c>
      <c r="F28" s="326" t="s">
        <v>140</v>
      </c>
      <c r="G28" s="326" t="s">
        <v>100</v>
      </c>
      <c r="H28" s="326">
        <v>0.755</v>
      </c>
      <c r="I28" s="326" t="s">
        <v>674</v>
      </c>
      <c r="J28" s="326" t="s">
        <v>236</v>
      </c>
      <c r="K28" s="326" t="s">
        <v>541</v>
      </c>
      <c r="L28" s="326" t="s">
        <v>675</v>
      </c>
      <c r="M28" s="326">
        <v>0.754</v>
      </c>
      <c r="N28" s="326" t="s">
        <v>195</v>
      </c>
      <c r="O28" s="326" t="s">
        <v>196</v>
      </c>
      <c r="P28" s="326" t="s">
        <v>676</v>
      </c>
      <c r="Q28" s="326" t="s">
        <v>677</v>
      </c>
      <c r="R28" s="326">
        <v>0.65</v>
      </c>
      <c r="S28" s="326" t="s">
        <v>124</v>
      </c>
      <c r="T28" s="326" t="s">
        <v>678</v>
      </c>
      <c r="U28" s="326" t="s">
        <v>381</v>
      </c>
      <c r="V28" s="326" t="s">
        <v>448</v>
      </c>
      <c r="W28" s="326">
        <v>0.863</v>
      </c>
      <c r="X28" s="326" t="s">
        <v>679</v>
      </c>
      <c r="Y28" s="326" t="s">
        <v>367</v>
      </c>
      <c r="Z28" s="326" t="s">
        <v>680</v>
      </c>
      <c r="AA28" s="326" t="s">
        <v>480</v>
      </c>
      <c r="AB28" s="326">
        <v>0.818</v>
      </c>
      <c r="AC28" s="326" t="s">
        <v>650</v>
      </c>
      <c r="AD28" s="326" t="s">
        <v>493</v>
      </c>
      <c r="AE28" s="326" t="s">
        <v>361</v>
      </c>
      <c r="AF28" s="327" t="s">
        <v>681</v>
      </c>
      <c r="AG28" s="326">
        <v>0.528</v>
      </c>
      <c r="AH28" s="326" t="s">
        <v>558</v>
      </c>
      <c r="AI28" s="326" t="s">
        <v>682</v>
      </c>
      <c r="AJ28" s="326">
        <v>0.099</v>
      </c>
      <c r="AK28" s="326" t="s">
        <v>463</v>
      </c>
      <c r="AL28" s="326" t="s">
        <v>683</v>
      </c>
      <c r="AM28" s="326">
        <v>0.536</v>
      </c>
      <c r="AN28" s="326" t="s">
        <v>587</v>
      </c>
      <c r="AO28" s="326" t="s">
        <v>138</v>
      </c>
      <c r="AP28" s="326">
        <v>0.17</v>
      </c>
      <c r="AQ28" s="326" t="s">
        <v>262</v>
      </c>
      <c r="AR28" s="326" t="s">
        <v>684</v>
      </c>
      <c r="AS28" s="326">
        <v>0.445</v>
      </c>
      <c r="AT28" s="326" t="s">
        <v>246</v>
      </c>
      <c r="AU28" s="326" t="s">
        <v>240</v>
      </c>
      <c r="AV28" s="328">
        <v>0.265</v>
      </c>
      <c r="AW28" s="326" t="s">
        <v>637</v>
      </c>
      <c r="AX28" s="326" t="s">
        <v>685</v>
      </c>
      <c r="AY28" s="329">
        <v>0.129</v>
      </c>
      <c r="AZ28" s="326" t="s">
        <v>686</v>
      </c>
      <c r="BA28" s="326" t="s">
        <v>687</v>
      </c>
      <c r="BB28" s="329">
        <v>0.219</v>
      </c>
      <c r="BC28" s="326" t="s">
        <v>471</v>
      </c>
      <c r="BD28" s="326" t="s">
        <v>135</v>
      </c>
      <c r="BE28" s="329">
        <v>0.452</v>
      </c>
      <c r="BF28" s="326" t="s">
        <v>154</v>
      </c>
      <c r="BG28" s="326" t="s">
        <v>688</v>
      </c>
      <c r="BH28" s="329">
        <v>0.328</v>
      </c>
      <c r="BI28" s="326" t="s">
        <v>311</v>
      </c>
      <c r="BJ28" s="326" t="s">
        <v>167</v>
      </c>
      <c r="BK28" s="329">
        <v>0.203</v>
      </c>
      <c r="BL28" s="329">
        <v>0.763</v>
      </c>
      <c r="BM28" s="329">
        <v>0.824</v>
      </c>
      <c r="BN28" s="329">
        <v>0.192</v>
      </c>
      <c r="BO28" s="329">
        <v>0.76</v>
      </c>
      <c r="BP28" s="329">
        <v>0.826</v>
      </c>
      <c r="BQ28" s="326"/>
      <c r="BR28" s="326"/>
      <c r="BS28" s="327"/>
      <c r="BT28" s="326">
        <v>0.883</v>
      </c>
      <c r="BU28" s="326" t="s">
        <v>132</v>
      </c>
      <c r="BV28" s="326" t="s">
        <v>309</v>
      </c>
      <c r="BW28" s="326" t="s">
        <v>363</v>
      </c>
      <c r="BX28" s="326" t="s">
        <v>689</v>
      </c>
      <c r="BY28" s="326">
        <v>0.879</v>
      </c>
      <c r="BZ28" s="326" t="s">
        <v>123</v>
      </c>
      <c r="CA28" s="326" t="s">
        <v>449</v>
      </c>
      <c r="CB28" s="326" t="s">
        <v>482</v>
      </c>
      <c r="CC28" s="326" t="s">
        <v>221</v>
      </c>
      <c r="CD28" s="326" t="s">
        <v>591</v>
      </c>
      <c r="CE28" s="326" t="s">
        <v>138</v>
      </c>
      <c r="CF28" s="326" t="s">
        <v>138</v>
      </c>
      <c r="CG28" s="326" t="s">
        <v>690</v>
      </c>
      <c r="CH28" s="329">
        <v>0.9905419223</v>
      </c>
      <c r="CI28" s="329">
        <v>0.9800828922</v>
      </c>
      <c r="CJ28" s="329">
        <v>0.9930981595</v>
      </c>
      <c r="CK28" s="329">
        <v>0.8984056943</v>
      </c>
      <c r="CL28" s="329">
        <v>0.7105403059</v>
      </c>
      <c r="CM28" s="330">
        <v>0.703</v>
      </c>
      <c r="CN28" s="330">
        <v>0.692</v>
      </c>
      <c r="CO28" s="330">
        <v>0.383</v>
      </c>
      <c r="CP28" s="330">
        <v>0.124</v>
      </c>
      <c r="CQ28" s="328">
        <v>0.764</v>
      </c>
      <c r="CR28" s="329">
        <v>0.94</v>
      </c>
      <c r="CS28" s="329">
        <v>0.509</v>
      </c>
      <c r="CT28" s="329">
        <v>0.117</v>
      </c>
      <c r="CU28" s="329">
        <v>0.443</v>
      </c>
      <c r="CV28" s="329">
        <v>0.189</v>
      </c>
      <c r="CW28" s="329">
        <v>0.195</v>
      </c>
      <c r="CX28" s="329">
        <v>0.911</v>
      </c>
      <c r="CY28" s="329">
        <v>0.943</v>
      </c>
      <c r="CZ28" s="329">
        <v>0.688</v>
      </c>
      <c r="DA28" s="329">
        <v>0.305</v>
      </c>
      <c r="DB28" s="329">
        <v>0.829</v>
      </c>
      <c r="DC28" s="329">
        <v>0.667</v>
      </c>
      <c r="DD28" s="329">
        <v>0.354</v>
      </c>
      <c r="DE28" s="329">
        <v>0.632</v>
      </c>
      <c r="DF28" s="329">
        <v>0.735</v>
      </c>
      <c r="DG28" s="329">
        <v>0.557</v>
      </c>
      <c r="DH28" s="329">
        <v>0.266</v>
      </c>
      <c r="DI28" s="329">
        <v>0.241</v>
      </c>
      <c r="DJ28" s="329">
        <v>0.086</v>
      </c>
      <c r="DK28" s="329">
        <v>0.326</v>
      </c>
      <c r="DL28" s="329">
        <v>0.949</v>
      </c>
      <c r="DM28" s="329" t="s">
        <v>691</v>
      </c>
      <c r="DN28" s="329" t="s">
        <v>141</v>
      </c>
      <c r="DO28" s="329" t="s">
        <v>67</v>
      </c>
      <c r="DP28" s="331" t="s">
        <v>472</v>
      </c>
      <c r="DQ28" s="29">
        <v>0.429</v>
      </c>
      <c r="DR28" s="29">
        <v>0.65</v>
      </c>
      <c r="DS28" s="29">
        <v>0.752</v>
      </c>
      <c r="DT28" s="29">
        <v>0.244</v>
      </c>
      <c r="DU28" s="29">
        <v>0.097</v>
      </c>
      <c r="DZ28" s="332">
        <f t="shared" ref="DZ28:ED28" si="105">IFERROR(AVERAGE(IFERROR(VALUE(C28),""),IFERROR(VALUE(H28),""),IFERROR(VALUE(M28),""),IFERROR(VALUE(R28),""),IFERROR(VALUE(W28),""),IFERROR(VALUE(AB28),"")),"")</f>
        <v>0.7875</v>
      </c>
      <c r="EA28" s="333">
        <f t="shared" si="105"/>
        <v>0.7905</v>
      </c>
      <c r="EB28" s="334">
        <f t="shared" si="105"/>
        <v>0.6926666667</v>
      </c>
      <c r="EC28" s="335">
        <f t="shared" si="105"/>
        <v>0.5361666667</v>
      </c>
      <c r="ED28" s="336">
        <f t="shared" si="105"/>
        <v>0.2746666667</v>
      </c>
      <c r="EE28" s="337">
        <f t="shared" ref="EE28:EG28" si="106">IFERROR(AVERAGE(IFERROR(VALUE(AG28),""),IFERROR(VALUE(AJ28),""),IFERROR(VALUE(AM28),""),IFERROR(VALUE(AP28),""),IFERROR(VALUE(AS28),"")),"")</f>
        <v>0.3556</v>
      </c>
      <c r="EF28" s="338">
        <f t="shared" si="106"/>
        <v>0.7042</v>
      </c>
      <c r="EG28" s="339">
        <f t="shared" si="106"/>
        <v>0.5528</v>
      </c>
      <c r="EH28" s="340">
        <v>0.706</v>
      </c>
      <c r="EI28" s="341">
        <v>0.803</v>
      </c>
      <c r="EJ28" s="342">
        <f t="shared" si="77"/>
        <v>0.9175139741</v>
      </c>
      <c r="EK28" s="254">
        <f t="shared" si="78"/>
        <v>0.7975207231</v>
      </c>
      <c r="EL28" s="83">
        <f t="shared" si="79"/>
        <v>0.7522745399</v>
      </c>
      <c r="EM28" s="343">
        <f t="shared" si="80"/>
        <v>0.5301014236</v>
      </c>
      <c r="EN28" s="344">
        <f t="shared" si="81"/>
        <v>0.3138850765</v>
      </c>
      <c r="EO28" s="345">
        <v>0.949</v>
      </c>
      <c r="EP28" s="346">
        <f t="shared" ref="EP28:EQ28" si="107">IFERROR(AVERAGE(IFERROR(VALUE(CQ28),""),IFERROR(VALUE(CX28),""),IFERROR(VALUE(DE28),""),IFERROR(VALUE(DM28),"")),"")</f>
        <v>0.7755</v>
      </c>
      <c r="EQ28" s="347">
        <f t="shared" si="107"/>
        <v>0.87875</v>
      </c>
      <c r="ER28" s="348">
        <f t="shared" ref="ER28:ES28" si="108">IFERROR(AVERAGE(IFERROR(VALUE(CU28),""),IFERROR(VALUE(DB28),""),IFERROR(VALUE(DI28),""),IFERROR(VALUE(DO28),"")),"")</f>
        <v>0.486</v>
      </c>
      <c r="ES28" s="349">
        <f t="shared" si="108"/>
        <v>0.3</v>
      </c>
      <c r="ET28" s="350">
        <f t="shared" ref="ET28:EU28" si="109">IFERROR(AVERAGE(IFERROR(VALUE(CS28),""),IFERROR(VALUE(CZ28),""),IFERROR(VALUE(DG28),"")),"")</f>
        <v>0.5846666667</v>
      </c>
      <c r="EU28" s="351">
        <f t="shared" si="109"/>
        <v>0.2293333333</v>
      </c>
      <c r="EV28" s="51">
        <v>0.637</v>
      </c>
      <c r="EW28" s="51">
        <v>0.255</v>
      </c>
    </row>
    <row r="29"/>
    <row r="30"/>
    <row r="31"/>
    <row r="32"/>
    <row r="33"/>
    <row r="34"/>
    <row r="35"/>
    <row r="36"/>
    <row r="37">
      <c r="R37" s="1" t="s">
        <v>692</v>
      </c>
    </row>
    <row r="38">
      <c r="A38" s="1" t="s">
        <v>693</v>
      </c>
    </row>
    <row r="39"/>
    <row r="40"/>
    <row r="41"/>
    <row r="42"/>
    <row r="43"/>
    <row r="44">
      <c r="CD44" s="1" t="s">
        <v>13</v>
      </c>
      <c r="CH44" s="1" t="s">
        <v>14</v>
      </c>
      <c r="CI44" s="1" t="s">
        <v>15</v>
      </c>
    </row>
    <row r="45">
      <c r="BU45" s="1" t="s">
        <v>694</v>
      </c>
      <c r="CD45" s="1">
        <v>0.714</v>
      </c>
      <c r="CH45" s="1">
        <v>0.621</v>
      </c>
      <c r="CI45" s="1">
        <v>0.387</v>
      </c>
    </row>
    <row r="46">
      <c r="BU46" s="1" t="s">
        <v>695</v>
      </c>
      <c r="CD46" s="1">
        <v>0.282</v>
      </c>
      <c r="CH46" s="1">
        <v>0.755</v>
      </c>
      <c r="CI46" s="1">
        <v>0.491</v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conditionalFormatting sqref="DZ5:DZ46">
    <cfRule type="colorScale" priority="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A5:EA46">
    <cfRule type="colorScale" priority="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B5:EB46">
    <cfRule type="colorScale" priority="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C5:EC46">
    <cfRule type="colorScale" priority="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D5:ED46">
    <cfRule type="colorScale" priority="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E5:EE46">
    <cfRule type="colorScale" priority="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F5:EF46">
    <cfRule type="colorScale" priority="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G5:EG46">
    <cfRule type="colorScale" priority="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H5:EH46">
    <cfRule type="colorScale" priority="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I5:EI46">
    <cfRule type="colorScale" priority="1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J5:EJ46">
    <cfRule type="colorScale" priority="1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K5:EK46">
    <cfRule type="colorScale" priority="1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L5:EL46">
    <cfRule type="colorScale" priority="1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M5:EM46">
    <cfRule type="colorScale" priority="1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N5:EN46">
    <cfRule type="colorScale" priority="1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O5:EO46">
    <cfRule type="colorScale" priority="1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P5:EP46">
    <cfRule type="colorScale" priority="1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Q5:EQ46">
    <cfRule type="colorScale" priority="1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R5:ER46">
    <cfRule type="colorScale" priority="1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S5:ES46">
    <cfRule type="colorScale" priority="2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T5:EU46 EV29:EW46">
    <cfRule type="colorScale" priority="2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W5:EW28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V5:EV28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14.86"/>
    <col customWidth="1" min="2" max="2" width="35.57"/>
    <col customWidth="1" min="3" max="71" width="8.71"/>
    <col customWidth="1" hidden="1" min="72" max="72" width="14.71"/>
    <col customWidth="1" hidden="1" min="73" max="76" width="8.71"/>
    <col customWidth="1" min="77" max="77" width="17.0"/>
    <col customWidth="1" min="78" max="90" width="8.71"/>
    <col customWidth="1" min="91" max="94" width="12.57"/>
    <col customWidth="1" min="95" max="114" width="8.71"/>
    <col customWidth="1" min="115" max="115" width="14.29"/>
    <col customWidth="1" min="116" max="133" width="8.71"/>
    <col customWidth="1" min="134" max="134" width="12.71"/>
    <col customWidth="1" min="135" max="139" width="8.71"/>
    <col customWidth="1" min="140" max="140" width="13.14"/>
    <col customWidth="1" min="141" max="153" width="8.71"/>
  </cols>
  <sheetData>
    <row r="1">
      <c r="A1" s="1" t="s">
        <v>0</v>
      </c>
    </row>
    <row r="2">
      <c r="A2" s="1" t="s">
        <v>1</v>
      </c>
      <c r="C2" s="2" t="s">
        <v>2</v>
      </c>
      <c r="AG2" s="1" t="s">
        <v>3</v>
      </c>
      <c r="AV2" s="1" t="s">
        <v>4</v>
      </c>
      <c r="BY2" s="1" t="s">
        <v>5</v>
      </c>
      <c r="CQ2" s="1" t="s">
        <v>6</v>
      </c>
      <c r="DZ2" s="3" t="s">
        <v>7</v>
      </c>
      <c r="EA2" s="4"/>
      <c r="EB2" s="4"/>
      <c r="EC2" s="4"/>
      <c r="ED2" s="4"/>
      <c r="EE2" s="3" t="s">
        <v>8</v>
      </c>
      <c r="EF2" s="4"/>
      <c r="EG2" s="4"/>
      <c r="EH2" s="3" t="s">
        <v>9</v>
      </c>
      <c r="EI2" s="5"/>
      <c r="EJ2" s="6" t="s">
        <v>10</v>
      </c>
      <c r="EK2" s="7" t="s">
        <v>10</v>
      </c>
      <c r="EL2" s="8"/>
      <c r="EM2" s="8"/>
      <c r="EN2" s="9"/>
      <c r="EO2" s="10" t="s">
        <v>11</v>
      </c>
      <c r="EP2" s="4"/>
      <c r="EQ2" s="4"/>
      <c r="ER2" s="4"/>
      <c r="ES2" s="4"/>
      <c r="ET2" s="4"/>
      <c r="EU2" s="4"/>
      <c r="EV2" s="4"/>
      <c r="EW2" s="4"/>
    </row>
    <row r="3"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13</v>
      </c>
      <c r="I3" s="11" t="s">
        <v>13</v>
      </c>
      <c r="J3" s="11" t="s">
        <v>13</v>
      </c>
      <c r="K3" s="11" t="s">
        <v>13</v>
      </c>
      <c r="L3" s="11" t="s">
        <v>13</v>
      </c>
      <c r="M3" s="11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15</v>
      </c>
      <c r="S3" s="11" t="s">
        <v>15</v>
      </c>
      <c r="T3" s="11" t="s">
        <v>15</v>
      </c>
      <c r="U3" s="11" t="s">
        <v>15</v>
      </c>
      <c r="V3" s="11" t="s">
        <v>15</v>
      </c>
      <c r="W3" s="11" t="s">
        <v>16</v>
      </c>
      <c r="X3" s="11" t="s">
        <v>16</v>
      </c>
      <c r="Y3" s="11" t="s">
        <v>16</v>
      </c>
      <c r="Z3" s="11" t="s">
        <v>16</v>
      </c>
      <c r="AA3" s="11" t="s">
        <v>16</v>
      </c>
      <c r="AB3" s="11" t="s">
        <v>17</v>
      </c>
      <c r="AC3" s="11" t="s">
        <v>17</v>
      </c>
      <c r="AD3" s="11" t="s">
        <v>17</v>
      </c>
      <c r="AE3" s="11" t="s">
        <v>17</v>
      </c>
      <c r="AF3" s="11" t="s">
        <v>17</v>
      </c>
      <c r="AG3" s="11" t="s">
        <v>18</v>
      </c>
      <c r="AH3" s="11" t="s">
        <v>18</v>
      </c>
      <c r="AI3" s="11" t="s">
        <v>18</v>
      </c>
      <c r="AJ3" s="11" t="s">
        <v>19</v>
      </c>
      <c r="AK3" s="11" t="s">
        <v>19</v>
      </c>
      <c r="AL3" s="11" t="s">
        <v>19</v>
      </c>
      <c r="AM3" s="11" t="s">
        <v>20</v>
      </c>
      <c r="AN3" s="11" t="s">
        <v>20</v>
      </c>
      <c r="AO3" s="11" t="s">
        <v>20</v>
      </c>
      <c r="AP3" s="11" t="s">
        <v>21</v>
      </c>
      <c r="AQ3" s="11" t="s">
        <v>21</v>
      </c>
      <c r="AR3" s="11" t="s">
        <v>21</v>
      </c>
      <c r="AS3" s="11" t="s">
        <v>22</v>
      </c>
      <c r="AT3" s="11" t="s">
        <v>22</v>
      </c>
      <c r="AU3" s="11" t="s">
        <v>22</v>
      </c>
      <c r="AV3" s="11" t="s">
        <v>23</v>
      </c>
      <c r="AW3" s="11" t="s">
        <v>23</v>
      </c>
      <c r="AX3" s="11" t="s">
        <v>23</v>
      </c>
      <c r="AY3" s="11" t="s">
        <v>24</v>
      </c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25</v>
      </c>
      <c r="BE3" s="11" t="s">
        <v>26</v>
      </c>
      <c r="BF3" s="11" t="s">
        <v>26</v>
      </c>
      <c r="BG3" s="11" t="s">
        <v>26</v>
      </c>
      <c r="BH3" s="11" t="s">
        <v>27</v>
      </c>
      <c r="BI3" s="11" t="s">
        <v>27</v>
      </c>
      <c r="BJ3" s="11" t="s">
        <v>27</v>
      </c>
      <c r="BK3" s="11" t="s">
        <v>28</v>
      </c>
      <c r="BL3" s="11" t="s">
        <v>28</v>
      </c>
      <c r="BM3" s="11" t="s">
        <v>28</v>
      </c>
      <c r="BN3" s="11" t="s">
        <v>29</v>
      </c>
      <c r="BO3" s="11" t="s">
        <v>29</v>
      </c>
      <c r="BP3" s="11" t="s">
        <v>29</v>
      </c>
      <c r="BQ3" s="11" t="s">
        <v>30</v>
      </c>
      <c r="BR3" s="11" t="s">
        <v>30</v>
      </c>
      <c r="BS3" s="11" t="s">
        <v>30</v>
      </c>
      <c r="BT3" s="11" t="s">
        <v>31</v>
      </c>
      <c r="BU3" s="11" t="s">
        <v>31</v>
      </c>
      <c r="BV3" s="11" t="s">
        <v>31</v>
      </c>
      <c r="BW3" s="11" t="s">
        <v>31</v>
      </c>
      <c r="BX3" s="11" t="s">
        <v>31</v>
      </c>
      <c r="BY3" s="11" t="s">
        <v>32</v>
      </c>
      <c r="BZ3" s="11" t="s">
        <v>32</v>
      </c>
      <c r="CA3" s="11" t="s">
        <v>32</v>
      </c>
      <c r="CB3" s="11" t="s">
        <v>32</v>
      </c>
      <c r="CC3" s="11" t="s">
        <v>32</v>
      </c>
      <c r="CD3" s="11" t="s">
        <v>33</v>
      </c>
      <c r="CE3" s="11" t="s">
        <v>33</v>
      </c>
      <c r="CF3" s="11" t="s">
        <v>33</v>
      </c>
      <c r="CG3" s="11" t="s">
        <v>33</v>
      </c>
      <c r="CH3" s="11" t="s">
        <v>34</v>
      </c>
      <c r="CI3" s="11" t="s">
        <v>34</v>
      </c>
      <c r="CJ3" s="11" t="s">
        <v>34</v>
      </c>
      <c r="CK3" s="11" t="s">
        <v>34</v>
      </c>
      <c r="CL3" s="11" t="s">
        <v>34</v>
      </c>
      <c r="CM3" s="12" t="s">
        <v>35</v>
      </c>
      <c r="CN3" s="12" t="s">
        <v>35</v>
      </c>
      <c r="CO3" s="12" t="s">
        <v>35</v>
      </c>
      <c r="CP3" s="12" t="s">
        <v>35</v>
      </c>
      <c r="CQ3" s="11" t="s">
        <v>36</v>
      </c>
      <c r="CR3" s="11" t="s">
        <v>36</v>
      </c>
      <c r="CS3" s="11" t="s">
        <v>36</v>
      </c>
      <c r="CT3" s="11" t="s">
        <v>36</v>
      </c>
      <c r="CU3" s="11" t="s">
        <v>36</v>
      </c>
      <c r="CV3" s="11" t="s">
        <v>36</v>
      </c>
      <c r="CW3" s="11" t="s">
        <v>36</v>
      </c>
      <c r="CX3" s="11" t="s">
        <v>37</v>
      </c>
      <c r="CY3" s="11" t="s">
        <v>37</v>
      </c>
      <c r="CZ3" s="11" t="s">
        <v>37</v>
      </c>
      <c r="DA3" s="11" t="s">
        <v>37</v>
      </c>
      <c r="DB3" s="11" t="s">
        <v>37</v>
      </c>
      <c r="DC3" s="11" t="s">
        <v>37</v>
      </c>
      <c r="DD3" s="11" t="s">
        <v>37</v>
      </c>
      <c r="DE3" s="11" t="s">
        <v>38</v>
      </c>
      <c r="DF3" s="11" t="s">
        <v>38</v>
      </c>
      <c r="DG3" s="11" t="s">
        <v>38</v>
      </c>
      <c r="DH3" s="11" t="s">
        <v>38</v>
      </c>
      <c r="DI3" s="11" t="s">
        <v>38</v>
      </c>
      <c r="DJ3" s="11" t="s">
        <v>38</v>
      </c>
      <c r="DK3" s="11" t="s">
        <v>38</v>
      </c>
      <c r="DL3" s="11" t="s">
        <v>39</v>
      </c>
      <c r="DM3" s="11" t="s">
        <v>39</v>
      </c>
      <c r="DN3" s="11" t="s">
        <v>39</v>
      </c>
      <c r="DO3" s="11" t="s">
        <v>39</v>
      </c>
      <c r="DP3" s="11" t="s">
        <v>39</v>
      </c>
      <c r="DQ3" s="4" t="s">
        <v>40</v>
      </c>
      <c r="DR3" s="4" t="s">
        <v>40</v>
      </c>
      <c r="DS3" s="4" t="s">
        <v>40</v>
      </c>
      <c r="DT3" s="4" t="s">
        <v>40</v>
      </c>
      <c r="DU3" s="4" t="s">
        <v>40</v>
      </c>
      <c r="DZ3" s="13" t="s">
        <v>41</v>
      </c>
      <c r="EA3" s="14" t="s">
        <v>41</v>
      </c>
      <c r="EB3" s="14" t="s">
        <v>41</v>
      </c>
      <c r="EC3" s="14" t="s">
        <v>41</v>
      </c>
      <c r="ED3" s="15" t="s">
        <v>41</v>
      </c>
      <c r="EE3" s="13" t="s">
        <v>42</v>
      </c>
      <c r="EF3" s="14" t="s">
        <v>42</v>
      </c>
      <c r="EG3" s="15" t="s">
        <v>42</v>
      </c>
      <c r="EH3" s="14" t="s">
        <v>4</v>
      </c>
      <c r="EI3" s="15" t="s">
        <v>4</v>
      </c>
      <c r="EJ3" s="16" t="s">
        <v>5</v>
      </c>
      <c r="EK3" s="17" t="s">
        <v>5</v>
      </c>
      <c r="EL3" s="17" t="s">
        <v>5</v>
      </c>
      <c r="EM3" s="17" t="s">
        <v>5</v>
      </c>
      <c r="EN3" s="18" t="s">
        <v>5</v>
      </c>
      <c r="EO3" s="13" t="s">
        <v>43</v>
      </c>
      <c r="EP3" s="14" t="s">
        <v>43</v>
      </c>
      <c r="EQ3" s="14" t="s">
        <v>43</v>
      </c>
      <c r="ER3" s="14" t="s">
        <v>43</v>
      </c>
      <c r="ES3" s="14" t="s">
        <v>43</v>
      </c>
      <c r="ET3" s="14" t="s">
        <v>43</v>
      </c>
      <c r="EU3" s="15" t="s">
        <v>43</v>
      </c>
      <c r="EV3" s="5" t="s">
        <v>43</v>
      </c>
      <c r="EW3" s="5" t="s">
        <v>4</v>
      </c>
    </row>
    <row r="4"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44</v>
      </c>
      <c r="N4" s="11" t="s">
        <v>45</v>
      </c>
      <c r="O4" s="11" t="s">
        <v>46</v>
      </c>
      <c r="P4" s="11" t="s">
        <v>47</v>
      </c>
      <c r="Q4" s="11" t="s">
        <v>48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1" t="s">
        <v>44</v>
      </c>
      <c r="AC4" s="11" t="s">
        <v>45</v>
      </c>
      <c r="AD4" s="11" t="s">
        <v>46</v>
      </c>
      <c r="AE4" s="11" t="s">
        <v>47</v>
      </c>
      <c r="AF4" s="11" t="s">
        <v>48</v>
      </c>
      <c r="AG4" s="11" t="s">
        <v>44</v>
      </c>
      <c r="AH4" s="11" t="s">
        <v>45</v>
      </c>
      <c r="AI4" s="11" t="s">
        <v>46</v>
      </c>
      <c r="AJ4" s="11" t="s">
        <v>44</v>
      </c>
      <c r="AK4" s="11" t="s">
        <v>45</v>
      </c>
      <c r="AL4" s="11" t="s">
        <v>46</v>
      </c>
      <c r="AM4" s="11" t="s">
        <v>44</v>
      </c>
      <c r="AN4" s="11" t="s">
        <v>45</v>
      </c>
      <c r="AO4" s="11" t="s">
        <v>46</v>
      </c>
      <c r="AP4" s="11" t="s">
        <v>44</v>
      </c>
      <c r="AQ4" s="11" t="s">
        <v>45</v>
      </c>
      <c r="AR4" s="11" t="s">
        <v>46</v>
      </c>
      <c r="AS4" s="11" t="s">
        <v>44</v>
      </c>
      <c r="AT4" s="11" t="s">
        <v>45</v>
      </c>
      <c r="AU4" s="11" t="s">
        <v>46</v>
      </c>
      <c r="AV4" s="11" t="s">
        <v>44</v>
      </c>
      <c r="AW4" s="11" t="s">
        <v>45</v>
      </c>
      <c r="AX4" s="11" t="s">
        <v>46</v>
      </c>
      <c r="AY4" s="11" t="s">
        <v>44</v>
      </c>
      <c r="AZ4" s="11" t="s">
        <v>45</v>
      </c>
      <c r="BA4" s="11" t="s">
        <v>46</v>
      </c>
      <c r="BB4" s="11" t="s">
        <v>44</v>
      </c>
      <c r="BC4" s="11" t="s">
        <v>45</v>
      </c>
      <c r="BD4" s="11" t="s">
        <v>46</v>
      </c>
      <c r="BE4" s="11" t="s">
        <v>44</v>
      </c>
      <c r="BF4" s="11" t="s">
        <v>45</v>
      </c>
      <c r="BG4" s="11" t="s">
        <v>46</v>
      </c>
      <c r="BH4" s="11" t="s">
        <v>44</v>
      </c>
      <c r="BI4" s="11" t="s">
        <v>45</v>
      </c>
      <c r="BJ4" s="11" t="s">
        <v>46</v>
      </c>
      <c r="BK4" s="11" t="s">
        <v>44</v>
      </c>
      <c r="BL4" s="11" t="s">
        <v>45</v>
      </c>
      <c r="BM4" s="11" t="s">
        <v>46</v>
      </c>
      <c r="BN4" s="11" t="s">
        <v>44</v>
      </c>
      <c r="BO4" s="11" t="s">
        <v>45</v>
      </c>
      <c r="BP4" s="11" t="s">
        <v>46</v>
      </c>
      <c r="BQ4" s="11" t="s">
        <v>44</v>
      </c>
      <c r="BR4" s="11" t="s">
        <v>45</v>
      </c>
      <c r="BS4" s="11" t="s">
        <v>46</v>
      </c>
      <c r="BT4" s="11" t="s">
        <v>44</v>
      </c>
      <c r="BU4" s="11" t="s">
        <v>45</v>
      </c>
      <c r="BV4" s="11" t="s">
        <v>46</v>
      </c>
      <c r="BW4" s="11" t="s">
        <v>47</v>
      </c>
      <c r="BX4" s="11" t="s">
        <v>48</v>
      </c>
      <c r="BY4" s="11" t="s">
        <v>44</v>
      </c>
      <c r="BZ4" s="11" t="s">
        <v>45</v>
      </c>
      <c r="CA4" s="11" t="s">
        <v>46</v>
      </c>
      <c r="CB4" s="11" t="s">
        <v>47</v>
      </c>
      <c r="CC4" s="11" t="s">
        <v>48</v>
      </c>
      <c r="CD4" s="11" t="s">
        <v>45</v>
      </c>
      <c r="CE4" s="11" t="s">
        <v>46</v>
      </c>
      <c r="CF4" s="11" t="s">
        <v>47</v>
      </c>
      <c r="CG4" s="11" t="s">
        <v>48</v>
      </c>
      <c r="CH4" s="11" t="s">
        <v>44</v>
      </c>
      <c r="CI4" s="11" t="s">
        <v>45</v>
      </c>
      <c r="CJ4" s="11" t="s">
        <v>46</v>
      </c>
      <c r="CK4" s="11" t="s">
        <v>47</v>
      </c>
      <c r="CL4" s="11" t="s">
        <v>48</v>
      </c>
      <c r="CM4" s="11" t="s">
        <v>45</v>
      </c>
      <c r="CN4" s="11" t="s">
        <v>46</v>
      </c>
      <c r="CO4" s="11" t="s">
        <v>47</v>
      </c>
      <c r="CP4" s="11" t="s">
        <v>48</v>
      </c>
      <c r="CQ4" s="11" t="s">
        <v>45</v>
      </c>
      <c r="CR4" s="11" t="s">
        <v>46</v>
      </c>
      <c r="CS4" s="11" t="s">
        <v>49</v>
      </c>
      <c r="CT4" s="11" t="s">
        <v>50</v>
      </c>
      <c r="CU4" s="11" t="s">
        <v>47</v>
      </c>
      <c r="CV4" s="11" t="s">
        <v>48</v>
      </c>
      <c r="CW4" s="12" t="s">
        <v>44</v>
      </c>
      <c r="CX4" s="11" t="s">
        <v>45</v>
      </c>
      <c r="CY4" s="11" t="s">
        <v>46</v>
      </c>
      <c r="CZ4" s="11" t="s">
        <v>49</v>
      </c>
      <c r="DA4" s="11" t="s">
        <v>50</v>
      </c>
      <c r="DB4" s="11" t="s">
        <v>47</v>
      </c>
      <c r="DC4" s="11" t="s">
        <v>48</v>
      </c>
      <c r="DD4" s="12" t="s">
        <v>44</v>
      </c>
      <c r="DE4" s="11" t="s">
        <v>45</v>
      </c>
      <c r="DF4" s="11" t="s">
        <v>46</v>
      </c>
      <c r="DG4" s="11" t="s">
        <v>49</v>
      </c>
      <c r="DH4" s="11" t="s">
        <v>50</v>
      </c>
      <c r="DI4" s="11" t="s">
        <v>47</v>
      </c>
      <c r="DJ4" s="11" t="s">
        <v>48</v>
      </c>
      <c r="DK4" s="12" t="s">
        <v>44</v>
      </c>
      <c r="DL4" s="11" t="s">
        <v>44</v>
      </c>
      <c r="DM4" s="11" t="s">
        <v>45</v>
      </c>
      <c r="DN4" s="11" t="s">
        <v>46</v>
      </c>
      <c r="DO4" s="11" t="s">
        <v>47</v>
      </c>
      <c r="DP4" s="11" t="s">
        <v>48</v>
      </c>
      <c r="DQ4" s="4" t="s">
        <v>44</v>
      </c>
      <c r="DR4" s="4" t="s">
        <v>45</v>
      </c>
      <c r="DS4" s="4" t="s">
        <v>46</v>
      </c>
      <c r="DT4" s="4" t="s">
        <v>47</v>
      </c>
      <c r="DU4" s="4" t="s">
        <v>48</v>
      </c>
      <c r="DZ4" s="19" t="s">
        <v>44</v>
      </c>
      <c r="EA4" s="5" t="s">
        <v>45</v>
      </c>
      <c r="EB4" s="5" t="s">
        <v>46</v>
      </c>
      <c r="EC4" s="5" t="s">
        <v>47</v>
      </c>
      <c r="ED4" s="20" t="s">
        <v>48</v>
      </c>
      <c r="EE4" s="19" t="s">
        <v>44</v>
      </c>
      <c r="EF4" s="5" t="s">
        <v>45</v>
      </c>
      <c r="EG4" s="20" t="s">
        <v>46</v>
      </c>
      <c r="EH4" s="5" t="s">
        <v>45</v>
      </c>
      <c r="EI4" s="20" t="s">
        <v>46</v>
      </c>
      <c r="EJ4" s="21" t="s">
        <v>44</v>
      </c>
      <c r="EK4" s="9" t="s">
        <v>45</v>
      </c>
      <c r="EL4" s="9" t="s">
        <v>46</v>
      </c>
      <c r="EM4" s="9" t="s">
        <v>47</v>
      </c>
      <c r="EN4" s="22" t="s">
        <v>48</v>
      </c>
      <c r="EO4" s="19" t="s">
        <v>44</v>
      </c>
      <c r="EP4" s="5" t="s">
        <v>45</v>
      </c>
      <c r="EQ4" s="5" t="s">
        <v>46</v>
      </c>
      <c r="ER4" s="5" t="s">
        <v>47</v>
      </c>
      <c r="ES4" s="5" t="s">
        <v>48</v>
      </c>
      <c r="ET4" s="5" t="s">
        <v>49</v>
      </c>
      <c r="EU4" s="20" t="s">
        <v>50</v>
      </c>
      <c r="EV4" s="5" t="s">
        <v>51</v>
      </c>
      <c r="EW4" s="5" t="s">
        <v>44</v>
      </c>
    </row>
    <row r="5">
      <c r="A5" s="23" t="s">
        <v>52</v>
      </c>
      <c r="B5" s="24" t="s">
        <v>53</v>
      </c>
      <c r="C5" s="25">
        <v>0.82</v>
      </c>
      <c r="D5" s="26" t="s">
        <v>54</v>
      </c>
      <c r="E5" s="26" t="s">
        <v>55</v>
      </c>
      <c r="F5" s="26" t="s">
        <v>56</v>
      </c>
      <c r="G5" s="26" t="s">
        <v>57</v>
      </c>
      <c r="H5" s="26">
        <v>0.332</v>
      </c>
      <c r="I5" s="26" t="s">
        <v>58</v>
      </c>
      <c r="J5" s="26" t="s">
        <v>59</v>
      </c>
      <c r="K5" s="26" t="s">
        <v>60</v>
      </c>
      <c r="L5" s="26" t="s">
        <v>61</v>
      </c>
      <c r="M5" s="26">
        <v>0.769</v>
      </c>
      <c r="N5" s="26" t="s">
        <v>62</v>
      </c>
      <c r="O5" s="26" t="s">
        <v>63</v>
      </c>
      <c r="P5" s="26" t="s">
        <v>64</v>
      </c>
      <c r="Q5" s="26" t="s">
        <v>65</v>
      </c>
      <c r="R5" s="26">
        <v>0.639</v>
      </c>
      <c r="S5" s="26" t="s">
        <v>66</v>
      </c>
      <c r="T5" s="26" t="s">
        <v>67</v>
      </c>
      <c r="U5" s="26" t="s">
        <v>68</v>
      </c>
      <c r="V5" s="26" t="s">
        <v>69</v>
      </c>
      <c r="W5" s="26">
        <v>0.842</v>
      </c>
      <c r="X5" s="26" t="s">
        <v>70</v>
      </c>
      <c r="Y5" s="26" t="s">
        <v>71</v>
      </c>
      <c r="Z5" s="26" t="s">
        <v>72</v>
      </c>
      <c r="AA5" s="26" t="s">
        <v>73</v>
      </c>
      <c r="AB5" s="26">
        <v>0.945</v>
      </c>
      <c r="AC5" s="26" t="s">
        <v>74</v>
      </c>
      <c r="AD5" s="26" t="s">
        <v>75</v>
      </c>
      <c r="AE5" s="26" t="s">
        <v>76</v>
      </c>
      <c r="AF5" s="27" t="s">
        <v>77</v>
      </c>
      <c r="AG5" s="26">
        <v>0.428</v>
      </c>
      <c r="AH5" s="26" t="s">
        <v>78</v>
      </c>
      <c r="AI5" s="26" t="s">
        <v>79</v>
      </c>
      <c r="AJ5" s="26">
        <v>0.094</v>
      </c>
      <c r="AK5" s="26" t="s">
        <v>80</v>
      </c>
      <c r="AL5" s="26" t="s">
        <v>81</v>
      </c>
      <c r="AM5" s="26">
        <v>0.577</v>
      </c>
      <c r="AN5" s="26" t="s">
        <v>82</v>
      </c>
      <c r="AO5" s="26" t="s">
        <v>83</v>
      </c>
      <c r="AP5" s="26">
        <v>0.216</v>
      </c>
      <c r="AQ5" s="26" t="s">
        <v>84</v>
      </c>
      <c r="AR5" s="26" t="s">
        <v>85</v>
      </c>
      <c r="AS5" s="26">
        <v>0.381</v>
      </c>
      <c r="AT5" s="26" t="s">
        <v>86</v>
      </c>
      <c r="AU5" s="26" t="s">
        <v>87</v>
      </c>
      <c r="AV5" s="28">
        <v>0.108</v>
      </c>
      <c r="AW5" s="26" t="s">
        <v>88</v>
      </c>
      <c r="AX5" s="26" t="s">
        <v>89</v>
      </c>
      <c r="AY5" s="29">
        <v>0.046</v>
      </c>
      <c r="AZ5" s="26" t="s">
        <v>90</v>
      </c>
      <c r="BA5" s="26" t="s">
        <v>91</v>
      </c>
      <c r="BB5" s="29">
        <v>0.062</v>
      </c>
      <c r="BC5" s="26" t="s">
        <v>92</v>
      </c>
      <c r="BD5" s="26" t="s">
        <v>93</v>
      </c>
      <c r="BE5" s="29">
        <v>0.213</v>
      </c>
      <c r="BF5" s="26" t="s">
        <v>94</v>
      </c>
      <c r="BG5" s="26" t="s">
        <v>95</v>
      </c>
      <c r="BH5" s="29">
        <v>0.107</v>
      </c>
      <c r="BI5" s="26" t="s">
        <v>96</v>
      </c>
      <c r="BJ5" s="26" t="s">
        <v>97</v>
      </c>
      <c r="BK5" s="29">
        <v>0.094</v>
      </c>
      <c r="BL5" s="30">
        <v>0.704</v>
      </c>
      <c r="BM5" s="30">
        <v>0.793</v>
      </c>
      <c r="BN5" s="29">
        <v>0.079</v>
      </c>
      <c r="BO5" s="30">
        <v>0.725</v>
      </c>
      <c r="BP5" s="30">
        <v>0.82</v>
      </c>
      <c r="BQ5" s="26"/>
      <c r="BR5" s="26"/>
      <c r="BS5" s="27"/>
      <c r="BT5" s="26" t="s">
        <v>98</v>
      </c>
      <c r="BU5" s="26" t="s">
        <v>77</v>
      </c>
      <c r="BV5" s="26" t="s">
        <v>99</v>
      </c>
      <c r="BW5" s="26" t="s">
        <v>100</v>
      </c>
      <c r="BX5" s="26" t="s">
        <v>101</v>
      </c>
      <c r="BY5" s="26" t="s">
        <v>102</v>
      </c>
      <c r="BZ5" s="26" t="s">
        <v>103</v>
      </c>
      <c r="CA5" s="26" t="s">
        <v>104</v>
      </c>
      <c r="CB5" s="26" t="s">
        <v>105</v>
      </c>
      <c r="CC5" s="26" t="s">
        <v>106</v>
      </c>
      <c r="CD5" s="26" t="s">
        <v>107</v>
      </c>
      <c r="CE5" s="26" t="s">
        <v>108</v>
      </c>
      <c r="CF5" s="26" t="s">
        <v>109</v>
      </c>
      <c r="CG5" s="26" t="s">
        <v>110</v>
      </c>
      <c r="CH5" s="4">
        <v>0.9486196319</v>
      </c>
      <c r="CI5" s="4">
        <v>0.898063264</v>
      </c>
      <c r="CJ5" s="4">
        <v>0.9207566462</v>
      </c>
      <c r="CK5" s="4">
        <v>0.7423079753</v>
      </c>
      <c r="CL5" s="4">
        <v>0.6220189648</v>
      </c>
      <c r="CM5" s="144">
        <v>0.657</v>
      </c>
      <c r="CN5" s="144">
        <v>0.69</v>
      </c>
      <c r="CO5" s="144">
        <v>0.359</v>
      </c>
      <c r="CP5" s="144">
        <v>0.124</v>
      </c>
      <c r="CQ5" s="145">
        <v>0.835</v>
      </c>
      <c r="CR5" s="4">
        <v>0.955</v>
      </c>
      <c r="CS5" s="4">
        <v>0.47</v>
      </c>
      <c r="CT5" s="4">
        <v>0.129</v>
      </c>
      <c r="CU5" s="4">
        <v>0.725</v>
      </c>
      <c r="CV5" s="4">
        <v>0.573</v>
      </c>
      <c r="CW5" s="4">
        <v>0.185</v>
      </c>
      <c r="CX5" s="4">
        <v>0.885</v>
      </c>
      <c r="CY5" s="4">
        <v>0.931</v>
      </c>
      <c r="CZ5" s="4">
        <v>0.663</v>
      </c>
      <c r="DA5" s="4">
        <v>0.279</v>
      </c>
      <c r="DB5" s="4">
        <v>0.745</v>
      </c>
      <c r="DC5" s="4">
        <v>0.587</v>
      </c>
      <c r="DD5" s="4">
        <v>0.29</v>
      </c>
      <c r="DE5" s="4">
        <v>0.821</v>
      </c>
      <c r="DF5" s="4">
        <v>0.869</v>
      </c>
      <c r="DG5" s="4">
        <v>0.5</v>
      </c>
      <c r="DH5" s="4">
        <v>0.05</v>
      </c>
      <c r="DI5" s="4">
        <v>0.645</v>
      </c>
      <c r="DJ5" s="4">
        <v>0.545</v>
      </c>
      <c r="DK5" s="4">
        <v>0.061</v>
      </c>
      <c r="DL5" s="4">
        <v>0.963</v>
      </c>
      <c r="DM5" s="4" t="s">
        <v>54</v>
      </c>
      <c r="DN5" s="4" t="s">
        <v>111</v>
      </c>
      <c r="DO5" s="4" t="s">
        <v>112</v>
      </c>
      <c r="DP5" s="238" t="s">
        <v>113</v>
      </c>
      <c r="DQ5" s="352">
        <v>0.201</v>
      </c>
      <c r="DR5" s="352">
        <v>0.769</v>
      </c>
      <c r="DS5" s="352">
        <v>0.782</v>
      </c>
      <c r="DT5" s="352">
        <v>0.424</v>
      </c>
      <c r="DU5" s="352">
        <v>0.229</v>
      </c>
      <c r="DZ5" s="33">
        <f t="shared" ref="DZ5:ED5" si="1">IFERROR(AVERAGE(IFERROR(VALUE(C5),""),IFERROR(VALUE(H5),""),IFERROR(VALUE(M5),""),IFERROR(VALUE(R5),""),IFERROR(VALUE(W5),""),IFERROR(VALUE(AB5),"")),"")</f>
        <v>0.7245</v>
      </c>
      <c r="EA5" s="34">
        <f t="shared" si="1"/>
        <v>0.7386666667</v>
      </c>
      <c r="EB5" s="35">
        <f t="shared" si="1"/>
        <v>0.612</v>
      </c>
      <c r="EC5" s="36">
        <f t="shared" si="1"/>
        <v>0.5038333333</v>
      </c>
      <c r="ED5" s="37">
        <f t="shared" si="1"/>
        <v>0.2546666667</v>
      </c>
      <c r="EE5" s="33">
        <f t="shared" ref="EE5:EG5" si="2">IFERROR(AVERAGE(IFERROR(VALUE(AG5),""),IFERROR(VALUE(AJ5),""),IFERROR(VALUE(AM5),""),IFERROR(VALUE(AP5),""),IFERROR(VALUE(AS5),"")),"")</f>
        <v>0.3392</v>
      </c>
      <c r="EF5" s="38">
        <f t="shared" si="2"/>
        <v>0.692</v>
      </c>
      <c r="EG5" s="39">
        <f t="shared" si="2"/>
        <v>0.6196</v>
      </c>
      <c r="EH5" s="38">
        <v>0.675</v>
      </c>
      <c r="EI5" s="40">
        <v>0.791</v>
      </c>
      <c r="EJ5" s="19" t="str">
        <f t="shared" ref="EJ5:EJ12" si="8">IFERROR(AVERAGE(IFERROR(VALUE(BT5),""),IFERROR(VALUE(BY5),""),IFERROR(VALUE(CH5),"")),"")</f>
        <v/>
      </c>
      <c r="EK5" s="41">
        <f t="shared" ref="EK5:EK12" si="9">IFERROR(AVERAGE(IFERROR(VALUE(BZ5),""),IFERROR(VALUE(CD5),""),IFERROR(VALUE(CI5),""),IFERROR(VALUE(CM5),"")),"")</f>
        <v>0.755265816</v>
      </c>
      <c r="EL5" s="42">
        <f t="shared" ref="EL5:EL12" si="10">IFERROR(AVERAGE(IFERROR(VALUE(CA5),""),IFERROR(VALUE(CE5),""),IFERROR(VALUE(CJ5),""), IFERROR(VALUE(CN5),"")),"")</f>
        <v>0.7271891616</v>
      </c>
      <c r="EM5" s="35">
        <f t="shared" ref="EM5:EM12" si="11">IFERROR(AVERAGE(IFERROR(VALUE(CB5),""),IFERROR(VALUE(CF5),""),IFERROR(VALUE(CK5),""),IFERROR(VALUE(CO5),"")),"")</f>
        <v>0.4853269938</v>
      </c>
      <c r="EN5" s="43">
        <f t="shared" ref="EN5:EN12" si="12">IFERROR(AVERAGE(IFERROR(VALUE(CC5),""),IFERROR(VALUE(CG5),""),IFERROR(VALUE(CL5),""), IFERROR(VALUE(CP5),"")),"")</f>
        <v>0.2785047412</v>
      </c>
      <c r="EO5" s="44">
        <v>0.963</v>
      </c>
      <c r="EP5" s="45">
        <f t="shared" ref="EP5:EQ5" si="3">IFERROR(AVERAGE(IFERROR(VALUE(CQ5),""),IFERROR(VALUE(CX5),""),IFERROR(VALUE(DE5),""),IFERROR(VALUE(DM5),"")),"")</f>
        <v>0.829</v>
      </c>
      <c r="EQ5" s="46">
        <f t="shared" si="3"/>
        <v>0.916</v>
      </c>
      <c r="ER5" s="47">
        <f t="shared" ref="ER5:ES5" si="4">IFERROR(AVERAGE(IFERROR(VALUE(CU5),""),IFERROR(VALUE(DB5),""),IFERROR(VALUE(DI5),""),IFERROR(VALUE(DO5),"")),"")</f>
        <v>0.6395</v>
      </c>
      <c r="ES5" s="48">
        <f t="shared" si="4"/>
        <v>0.51175</v>
      </c>
      <c r="ET5" s="49">
        <f t="shared" ref="ET5:EU5" si="5">IFERROR(AVERAGE(IFERROR(VALUE(CS5),""),IFERROR(VALUE(CZ5),""),IFERROR(VALUE(DG5),"")),"")</f>
        <v>0.5443333333</v>
      </c>
      <c r="EU5" s="50">
        <f t="shared" si="5"/>
        <v>0.1526666667</v>
      </c>
      <c r="EV5" s="51">
        <v>0.601</v>
      </c>
      <c r="EW5" s="51">
        <v>0.101</v>
      </c>
    </row>
    <row r="6">
      <c r="A6" s="52"/>
      <c r="B6" s="53" t="s">
        <v>114</v>
      </c>
      <c r="C6" s="25">
        <v>0.903</v>
      </c>
      <c r="D6" s="26" t="s">
        <v>115</v>
      </c>
      <c r="E6" s="26" t="s">
        <v>116</v>
      </c>
      <c r="F6" s="26" t="s">
        <v>117</v>
      </c>
      <c r="G6" s="26" t="s">
        <v>118</v>
      </c>
      <c r="H6" s="26">
        <v>0.359</v>
      </c>
      <c r="I6" s="26" t="s">
        <v>119</v>
      </c>
      <c r="J6" s="26" t="s">
        <v>120</v>
      </c>
      <c r="K6" s="26" t="s">
        <v>121</v>
      </c>
      <c r="L6" s="26" t="s">
        <v>122</v>
      </c>
      <c r="M6" s="26">
        <v>0.81</v>
      </c>
      <c r="N6" s="26" t="s">
        <v>62</v>
      </c>
      <c r="O6" s="26" t="s">
        <v>123</v>
      </c>
      <c r="P6" s="26" t="s">
        <v>121</v>
      </c>
      <c r="Q6" s="26" t="s">
        <v>122</v>
      </c>
      <c r="R6" s="26">
        <v>0.705</v>
      </c>
      <c r="S6" s="26" t="s">
        <v>124</v>
      </c>
      <c r="T6" s="26" t="s">
        <v>125</v>
      </c>
      <c r="U6" s="26" t="s">
        <v>126</v>
      </c>
      <c r="V6" s="26" t="s">
        <v>127</v>
      </c>
      <c r="W6" s="26">
        <v>0.935</v>
      </c>
      <c r="X6" s="26" t="s">
        <v>128</v>
      </c>
      <c r="Y6" s="26" t="s">
        <v>85</v>
      </c>
      <c r="Z6" s="26" t="s">
        <v>129</v>
      </c>
      <c r="AA6" s="26" t="s">
        <v>126</v>
      </c>
      <c r="AB6" s="26">
        <v>0.93</v>
      </c>
      <c r="AC6" s="26" t="s">
        <v>130</v>
      </c>
      <c r="AD6" s="26" t="s">
        <v>131</v>
      </c>
      <c r="AE6" s="26" t="s">
        <v>132</v>
      </c>
      <c r="AF6" s="27" t="s">
        <v>133</v>
      </c>
      <c r="AG6" s="26">
        <v>0.525</v>
      </c>
      <c r="AH6" s="26" t="s">
        <v>63</v>
      </c>
      <c r="AI6" s="26" t="s">
        <v>134</v>
      </c>
      <c r="AJ6" s="26">
        <v>0.11</v>
      </c>
      <c r="AK6" s="26" t="s">
        <v>135</v>
      </c>
      <c r="AL6" s="26" t="s">
        <v>136</v>
      </c>
      <c r="AM6" s="26">
        <v>0.544</v>
      </c>
      <c r="AN6" s="26" t="s">
        <v>137</v>
      </c>
      <c r="AO6" s="26" t="s">
        <v>138</v>
      </c>
      <c r="AP6" s="26">
        <v>0.351</v>
      </c>
      <c r="AQ6" s="26" t="s">
        <v>139</v>
      </c>
      <c r="AR6" s="26" t="s">
        <v>140</v>
      </c>
      <c r="AS6" s="26">
        <v>0.373</v>
      </c>
      <c r="AT6" s="26" t="s">
        <v>141</v>
      </c>
      <c r="AU6" s="26" t="s">
        <v>142</v>
      </c>
      <c r="AV6" s="28">
        <v>0.157</v>
      </c>
      <c r="AW6" s="26" t="s">
        <v>143</v>
      </c>
      <c r="AX6" s="26" t="s">
        <v>144</v>
      </c>
      <c r="AY6" s="29">
        <v>0.07</v>
      </c>
      <c r="AZ6" s="26" t="s">
        <v>94</v>
      </c>
      <c r="BA6" s="26" t="s">
        <v>145</v>
      </c>
      <c r="BB6" s="29">
        <v>0.095</v>
      </c>
      <c r="BC6" s="26" t="s">
        <v>146</v>
      </c>
      <c r="BD6" s="26" t="s">
        <v>147</v>
      </c>
      <c r="BE6" s="29">
        <v>0.248</v>
      </c>
      <c r="BF6" s="26" t="s">
        <v>148</v>
      </c>
      <c r="BG6" s="26" t="s">
        <v>128</v>
      </c>
      <c r="BH6" s="29">
        <v>0.105</v>
      </c>
      <c r="BI6" s="26" t="s">
        <v>149</v>
      </c>
      <c r="BJ6" s="26" t="s">
        <v>150</v>
      </c>
      <c r="BK6" s="29">
        <v>0.109</v>
      </c>
      <c r="BL6" s="29">
        <v>0.751</v>
      </c>
      <c r="BM6" s="29">
        <v>0.826</v>
      </c>
      <c r="BN6" s="29">
        <v>0.116</v>
      </c>
      <c r="BO6" s="29">
        <v>0.753</v>
      </c>
      <c r="BP6" s="29">
        <v>0.851</v>
      </c>
      <c r="BQ6" s="26"/>
      <c r="BR6" s="26"/>
      <c r="BS6" s="27"/>
      <c r="BT6" s="26">
        <v>0.907</v>
      </c>
      <c r="BU6" s="26" t="s">
        <v>151</v>
      </c>
      <c r="BV6" s="26" t="s">
        <v>140</v>
      </c>
      <c r="BW6" s="26" t="s">
        <v>152</v>
      </c>
      <c r="BX6" s="26" t="s">
        <v>153</v>
      </c>
      <c r="BY6" s="26">
        <v>0.872</v>
      </c>
      <c r="BZ6" s="26" t="s">
        <v>154</v>
      </c>
      <c r="CA6" s="26" t="s">
        <v>155</v>
      </c>
      <c r="CB6" s="26" t="s">
        <v>156</v>
      </c>
      <c r="CC6" s="26" t="s">
        <v>157</v>
      </c>
      <c r="CD6" s="26" t="s">
        <v>158</v>
      </c>
      <c r="CE6" s="26" t="s">
        <v>159</v>
      </c>
      <c r="CF6" s="26" t="s">
        <v>160</v>
      </c>
      <c r="CG6" s="26" t="s">
        <v>161</v>
      </c>
      <c r="CH6" s="4">
        <v>0.9534764826</v>
      </c>
      <c r="CI6" s="4">
        <v>0.8484262057</v>
      </c>
      <c r="CJ6" s="4">
        <v>0.9271472393</v>
      </c>
      <c r="CK6" s="4">
        <v>0.6531327392</v>
      </c>
      <c r="CL6" s="4">
        <v>0.3624503196</v>
      </c>
      <c r="CM6" s="144">
        <v>0.697</v>
      </c>
      <c r="CN6" s="144">
        <v>0.753</v>
      </c>
      <c r="CO6" s="144">
        <v>0.409</v>
      </c>
      <c r="CP6" s="144">
        <v>0.153</v>
      </c>
      <c r="CQ6" s="145">
        <v>0.924</v>
      </c>
      <c r="CR6" s="4">
        <v>0.985</v>
      </c>
      <c r="CS6" s="4">
        <v>0.536</v>
      </c>
      <c r="CT6" s="4">
        <v>0.086</v>
      </c>
      <c r="CU6" s="4">
        <v>0.891</v>
      </c>
      <c r="CV6" s="4">
        <v>0.818</v>
      </c>
      <c r="CW6" s="4">
        <v>0.18</v>
      </c>
      <c r="CX6" s="4">
        <v>0.929</v>
      </c>
      <c r="CY6" s="4">
        <v>0.98</v>
      </c>
      <c r="CZ6" s="4">
        <v>0.7</v>
      </c>
      <c r="DA6" s="4">
        <v>0.305</v>
      </c>
      <c r="DB6" s="4">
        <v>0.875</v>
      </c>
      <c r="DC6" s="4">
        <v>0.749</v>
      </c>
      <c r="DD6" s="4">
        <v>0.263</v>
      </c>
      <c r="DE6" s="4">
        <v>0.845</v>
      </c>
      <c r="DF6" s="4">
        <v>0.933</v>
      </c>
      <c r="DG6" s="4">
        <v>0.486</v>
      </c>
      <c r="DH6" s="4">
        <v>0.034</v>
      </c>
      <c r="DI6" s="4">
        <v>0.697</v>
      </c>
      <c r="DJ6" s="4">
        <v>0.559</v>
      </c>
      <c r="DK6" s="4">
        <v>0.093</v>
      </c>
      <c r="DL6" s="4">
        <v>0.985</v>
      </c>
      <c r="DM6" s="4" t="s">
        <v>162</v>
      </c>
      <c r="DN6" s="4" t="s">
        <v>163</v>
      </c>
      <c r="DO6" s="4" t="s">
        <v>164</v>
      </c>
      <c r="DP6" s="238" t="s">
        <v>165</v>
      </c>
      <c r="DQ6" s="352">
        <v>0.228</v>
      </c>
      <c r="DR6" s="352">
        <v>0.808</v>
      </c>
      <c r="DS6" s="352">
        <v>0.871</v>
      </c>
      <c r="DT6" s="352">
        <v>0.527</v>
      </c>
      <c r="DU6" s="352">
        <v>0.355</v>
      </c>
      <c r="DZ6" s="54">
        <f t="shared" ref="DZ6:ED6" si="6">IFERROR(AVERAGE(IFERROR(VALUE(C6),""),IFERROR(VALUE(H6),""),IFERROR(VALUE(M6),""),IFERROR(VALUE(R6),""),IFERROR(VALUE(W6),""),IFERROR(VALUE(AB6),"")),"")</f>
        <v>0.7736666667</v>
      </c>
      <c r="EA6" s="38">
        <f t="shared" si="6"/>
        <v>0.7341666667</v>
      </c>
      <c r="EB6" s="55">
        <f t="shared" si="6"/>
        <v>0.6465</v>
      </c>
      <c r="EC6" s="56">
        <f t="shared" si="6"/>
        <v>0.5421666667</v>
      </c>
      <c r="ED6" s="57">
        <f t="shared" si="6"/>
        <v>0.2046666667</v>
      </c>
      <c r="EE6" s="58">
        <f t="shared" ref="EE6:EG6" si="7">IFERROR(AVERAGE(IFERROR(VALUE(AG6),""),IFERROR(VALUE(AJ6),""),IFERROR(VALUE(AM6),""),IFERROR(VALUE(AP6),""),IFERROR(VALUE(AS6),"")),"")</f>
        <v>0.3806</v>
      </c>
      <c r="EF6" s="59">
        <f t="shared" si="7"/>
        <v>0.7216</v>
      </c>
      <c r="EG6" s="60">
        <f t="shared" si="7"/>
        <v>0.6542</v>
      </c>
      <c r="EH6" s="55">
        <v>0.686</v>
      </c>
      <c r="EI6" s="61">
        <v>0.813</v>
      </c>
      <c r="EJ6" s="62">
        <f t="shared" si="8"/>
        <v>0.9108254942</v>
      </c>
      <c r="EK6" s="38">
        <f t="shared" si="9"/>
        <v>0.7751065514</v>
      </c>
      <c r="EL6" s="63">
        <f t="shared" si="10"/>
        <v>0.7767868098</v>
      </c>
      <c r="EM6" s="34">
        <f t="shared" si="11"/>
        <v>0.4977831848</v>
      </c>
      <c r="EN6" s="64">
        <f t="shared" si="12"/>
        <v>0.2393625799</v>
      </c>
      <c r="EO6" s="65">
        <v>0.985</v>
      </c>
      <c r="EP6" s="66">
        <f t="shared" ref="EP6:EQ6" si="13">IFERROR(AVERAGE(IFERROR(VALUE(CQ6),""),IFERROR(VALUE(CX6),""),IFERROR(VALUE(DE6),""),IFERROR(VALUE(DM6),"")),"")</f>
        <v>0.88125</v>
      </c>
      <c r="EQ6" s="67">
        <f t="shared" si="13"/>
        <v>0.95725</v>
      </c>
      <c r="ER6" s="68">
        <f t="shared" ref="ER6:ES6" si="14">IFERROR(AVERAGE(IFERROR(VALUE(CU6),""),IFERROR(VALUE(DB6),""),IFERROR(VALUE(DI6),""),IFERROR(VALUE(DO6),"")),"")</f>
        <v>0.77575</v>
      </c>
      <c r="ES6" s="69">
        <f t="shared" si="14"/>
        <v>0.679</v>
      </c>
      <c r="ET6" s="70">
        <f t="shared" ref="ET6:EU6" si="15">IFERROR(AVERAGE(IFERROR(VALUE(CS6),""),IFERROR(VALUE(CZ6),""),IFERROR(VALUE(DG6),"")),"")</f>
        <v>0.574</v>
      </c>
      <c r="EU6" s="71">
        <f t="shared" si="15"/>
        <v>0.1416666667</v>
      </c>
      <c r="EV6" s="51">
        <v>0.637</v>
      </c>
      <c r="EW6" s="51">
        <v>0.129</v>
      </c>
    </row>
    <row r="7">
      <c r="A7" s="52"/>
      <c r="B7" s="53" t="s">
        <v>696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 t="s">
        <v>484</v>
      </c>
      <c r="O7" s="26" t="s">
        <v>268</v>
      </c>
      <c r="P7" s="26" t="s">
        <v>206</v>
      </c>
      <c r="Q7" s="26" t="s">
        <v>296</v>
      </c>
      <c r="R7" s="26"/>
      <c r="S7" s="26" t="s">
        <v>437</v>
      </c>
      <c r="T7" s="26" t="s">
        <v>697</v>
      </c>
      <c r="U7" s="26"/>
      <c r="V7" s="26"/>
      <c r="W7" s="26"/>
      <c r="X7" s="26" t="s">
        <v>698</v>
      </c>
      <c r="Y7" s="26" t="s">
        <v>363</v>
      </c>
      <c r="Z7" s="26"/>
      <c r="AA7" s="26"/>
      <c r="AB7" s="26">
        <v>0.91</v>
      </c>
      <c r="AC7" s="26" t="s">
        <v>316</v>
      </c>
      <c r="AD7" s="26" t="s">
        <v>317</v>
      </c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8"/>
      <c r="AW7" s="26" t="s">
        <v>642</v>
      </c>
      <c r="AX7" s="26" t="s">
        <v>699</v>
      </c>
      <c r="AY7" s="29"/>
      <c r="AZ7" s="26"/>
      <c r="BA7" s="26"/>
      <c r="BB7" s="29"/>
      <c r="BC7" s="26"/>
      <c r="BD7" s="26"/>
      <c r="BE7" s="29"/>
      <c r="BF7" s="26"/>
      <c r="BG7" s="26"/>
      <c r="BH7" s="29"/>
      <c r="BI7" s="26"/>
      <c r="BJ7" s="26"/>
      <c r="BK7" s="29"/>
      <c r="BL7" s="29"/>
      <c r="BM7" s="29"/>
      <c r="BN7" s="29"/>
      <c r="BO7" s="29"/>
      <c r="BP7" s="29"/>
      <c r="BQ7" s="26"/>
      <c r="BR7" s="26"/>
      <c r="BS7" s="27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4"/>
      <c r="CI7" s="4"/>
      <c r="CJ7" s="4"/>
      <c r="CK7" s="4"/>
      <c r="CL7" s="4"/>
      <c r="CM7" s="4"/>
      <c r="CN7" s="4"/>
      <c r="CO7" s="4"/>
      <c r="CP7" s="4"/>
      <c r="CQ7" s="145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238"/>
      <c r="DQ7" s="4"/>
      <c r="DR7" s="4"/>
      <c r="DS7" s="4"/>
      <c r="DT7" s="4"/>
      <c r="DU7" s="4"/>
      <c r="DZ7" s="381">
        <f t="shared" ref="DZ7:ED7" si="16">IFERROR(AVERAGE(IFERROR(VALUE(C7),""),IFERROR(VALUE(H7),""),IFERROR(VALUE(M7),""),IFERROR(VALUE(R7),""),IFERROR(VALUE(W7),""),IFERROR(VALUE(AB7),"")),"")</f>
        <v>0.1516666667</v>
      </c>
      <c r="EA7" s="382">
        <f t="shared" si="16"/>
        <v>0.4703333333</v>
      </c>
      <c r="EB7" s="88">
        <f t="shared" si="16"/>
        <v>0.4284166667</v>
      </c>
      <c r="EC7" s="383">
        <f t="shared" si="16"/>
        <v>0.0775</v>
      </c>
      <c r="ED7" s="384">
        <f t="shared" si="16"/>
        <v>0.04216666667</v>
      </c>
      <c r="EE7" s="385">
        <f t="shared" ref="EE7:EG7" si="17">IFERROR(AVERAGE(IFERROR(VALUE(AG7),""),IFERROR(VALUE(AJ7),""),IFERROR(VALUE(AM7),""),IFERROR(VALUE(AP7),""),IFERROR(VALUE(AS7),"")),"")</f>
        <v>0</v>
      </c>
      <c r="EF7" s="386">
        <f t="shared" si="17"/>
        <v>0</v>
      </c>
      <c r="EG7" s="387">
        <f t="shared" si="17"/>
        <v>0</v>
      </c>
      <c r="EH7" s="296">
        <v>0.688</v>
      </c>
      <c r="EI7" s="303">
        <v>0.979</v>
      </c>
      <c r="EJ7" s="385">
        <f t="shared" si="8"/>
        <v>0</v>
      </c>
      <c r="EK7" s="386">
        <f t="shared" si="9"/>
        <v>0</v>
      </c>
      <c r="EL7" s="386">
        <f t="shared" si="10"/>
        <v>0</v>
      </c>
      <c r="EM7" s="386">
        <f t="shared" si="11"/>
        <v>0</v>
      </c>
      <c r="EN7" s="387">
        <f t="shared" si="12"/>
        <v>0</v>
      </c>
      <c r="EO7" s="385">
        <f t="shared" ref="EO7:EO8" si="24">IFERROR(AVERAGE(IFERROR(VALUE(DL7),"")),"")</f>
        <v>0</v>
      </c>
      <c r="EP7" s="386">
        <f t="shared" ref="EP7:EQ7" si="18">IFERROR(AVERAGE(IFERROR(VALUE(CQ7),""),IFERROR(VALUE(CX7),""),IFERROR(VALUE(DE7),""),IFERROR(VALUE(DM7),"")),"")</f>
        <v>0</v>
      </c>
      <c r="EQ7" s="386">
        <f t="shared" si="18"/>
        <v>0</v>
      </c>
      <c r="ER7" s="386">
        <f t="shared" ref="ER7:ES7" si="19">IFERROR(AVERAGE(IFERROR(VALUE(CU7),""),IFERROR(VALUE(DB7),""),IFERROR(VALUE(DI7),""),IFERROR(VALUE(DO7),"")),"")</f>
        <v>0</v>
      </c>
      <c r="ES7" s="386">
        <f t="shared" si="19"/>
        <v>0</v>
      </c>
      <c r="ET7" s="386">
        <f t="shared" ref="ET7:EU7" si="20">IFERROR(AVERAGE(IFERROR(VALUE(CS7),""),IFERROR(VALUE(CZ7),""),IFERROR(VALUE(DG7),"")),"")</f>
        <v>0</v>
      </c>
      <c r="EU7" s="387">
        <f t="shared" si="20"/>
        <v>0</v>
      </c>
      <c r="EV7" s="51"/>
      <c r="EW7" s="51"/>
    </row>
    <row r="8">
      <c r="A8" s="52"/>
      <c r="B8" s="53" t="s">
        <v>700</v>
      </c>
      <c r="C8" s="25">
        <v>0.888</v>
      </c>
      <c r="D8" s="26"/>
      <c r="E8" s="26"/>
      <c r="F8" s="26"/>
      <c r="G8" s="26"/>
      <c r="H8" s="26">
        <v>0.456</v>
      </c>
      <c r="I8" s="26" t="s">
        <v>701</v>
      </c>
      <c r="J8" s="26" t="s">
        <v>499</v>
      </c>
      <c r="K8" s="26"/>
      <c r="L8" s="26"/>
      <c r="M8" s="26">
        <v>0.829</v>
      </c>
      <c r="N8" s="26" t="s">
        <v>702</v>
      </c>
      <c r="O8" s="26" t="s">
        <v>474</v>
      </c>
      <c r="P8" s="26"/>
      <c r="Q8" s="26"/>
      <c r="R8" s="26">
        <v>0.732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 t="s">
        <v>615</v>
      </c>
      <c r="AD8" s="26" t="s">
        <v>642</v>
      </c>
      <c r="AE8" s="26" t="s">
        <v>679</v>
      </c>
      <c r="AF8" s="27" t="s">
        <v>518</v>
      </c>
      <c r="AG8" s="26">
        <v>0.571</v>
      </c>
      <c r="AH8" s="26" t="s">
        <v>627</v>
      </c>
      <c r="AI8" s="26" t="s">
        <v>393</v>
      </c>
      <c r="AJ8" s="26">
        <v>0.118</v>
      </c>
      <c r="AK8" s="26" t="s">
        <v>326</v>
      </c>
      <c r="AL8" s="26" t="s">
        <v>371</v>
      </c>
      <c r="AM8" s="26"/>
      <c r="AN8" s="26"/>
      <c r="AO8" s="26"/>
      <c r="AP8" s="26"/>
      <c r="AQ8" s="26"/>
      <c r="AR8" s="26"/>
      <c r="AS8" s="26"/>
      <c r="AT8" s="26"/>
      <c r="AU8" s="26"/>
      <c r="AV8" s="28"/>
      <c r="AW8" s="26"/>
      <c r="AX8" s="26"/>
      <c r="AY8" s="29"/>
      <c r="AZ8" s="26"/>
      <c r="BA8" s="26"/>
      <c r="BB8" s="29"/>
      <c r="BC8" s="26"/>
      <c r="BD8" s="26"/>
      <c r="BE8" s="29"/>
      <c r="BF8" s="26"/>
      <c r="BG8" s="26"/>
      <c r="BH8" s="29"/>
      <c r="BI8" s="26"/>
      <c r="BJ8" s="26"/>
      <c r="BK8" s="29"/>
      <c r="BL8" s="29"/>
      <c r="BM8" s="29"/>
      <c r="BN8" s="29"/>
      <c r="BO8" s="29"/>
      <c r="BP8" s="29"/>
      <c r="BQ8" s="26"/>
      <c r="BR8" s="26"/>
      <c r="BS8" s="27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4"/>
      <c r="CI8" s="4"/>
      <c r="CJ8" s="4"/>
      <c r="CK8" s="4"/>
      <c r="CL8" s="4"/>
      <c r="CM8" s="4"/>
      <c r="CN8" s="4"/>
      <c r="CO8" s="4"/>
      <c r="CP8" s="4"/>
      <c r="CQ8" s="145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238"/>
      <c r="DQ8" s="4"/>
      <c r="DR8" s="4"/>
      <c r="DS8" s="4"/>
      <c r="DT8" s="4"/>
      <c r="DU8" s="4"/>
      <c r="DZ8" s="388">
        <f t="shared" ref="DZ8:ED8" si="21">IFERROR(AVERAGE(IFERROR(VALUE(C8),""),IFERROR(VALUE(H8),""),IFERROR(VALUE(M8),""),IFERROR(VALUE(R8),""),IFERROR(VALUE(W8),""),IFERROR(VALUE(AB8),"")),"")</f>
        <v>0.4841666667</v>
      </c>
      <c r="EA8" s="389">
        <f t="shared" si="21"/>
        <v>0.3563333333</v>
      </c>
      <c r="EB8" s="390">
        <f t="shared" si="21"/>
        <v>0.2728333333</v>
      </c>
      <c r="EC8" s="391">
        <f t="shared" si="21"/>
        <v>0.1135</v>
      </c>
      <c r="ED8" s="392">
        <f t="shared" si="21"/>
        <v>0.04133333333</v>
      </c>
      <c r="EE8" s="393">
        <f t="shared" ref="EE8:EG8" si="22">IFERROR(AVERAGE(IFERROR(VALUE(AG8),""),IFERROR(VALUE(AJ8),""),IFERROR(VALUE(AM8),""),IFERROR(VALUE(AP8),""),IFERROR(VALUE(AS8),"")),"")</f>
        <v>0.1378</v>
      </c>
      <c r="EF8" s="394">
        <f t="shared" si="22"/>
        <v>0.2692</v>
      </c>
      <c r="EG8" s="395">
        <f t="shared" si="22"/>
        <v>0.2474</v>
      </c>
      <c r="EH8" s="386">
        <f t="shared" ref="EH8:EI8" si="23">IFERROR(AVERAGE(IFERROR(VALUE(AW8),""),IFERROR(VALUE(AZ8),""),IFERROR(VALUE(BC8),""),IFERROR(VALUE(BF8),""),IFERROR(VALUE(BI8),"")),"")</f>
        <v>0</v>
      </c>
      <c r="EI8" s="387">
        <f t="shared" si="23"/>
        <v>0</v>
      </c>
      <c r="EJ8" s="385">
        <f t="shared" si="8"/>
        <v>0</v>
      </c>
      <c r="EK8" s="386">
        <f t="shared" si="9"/>
        <v>0</v>
      </c>
      <c r="EL8" s="386">
        <f t="shared" si="10"/>
        <v>0</v>
      </c>
      <c r="EM8" s="386">
        <f t="shared" si="11"/>
        <v>0</v>
      </c>
      <c r="EN8" s="387">
        <f t="shared" si="12"/>
        <v>0</v>
      </c>
      <c r="EO8" s="385">
        <f t="shared" si="24"/>
        <v>0</v>
      </c>
      <c r="EP8" s="386">
        <f t="shared" ref="EP8:EQ8" si="25">IFERROR(AVERAGE(IFERROR(VALUE(CQ8),""),IFERROR(VALUE(CX8),""),IFERROR(VALUE(DE8),""),IFERROR(VALUE(DM8),"")),"")</f>
        <v>0</v>
      </c>
      <c r="EQ8" s="386">
        <f t="shared" si="25"/>
        <v>0</v>
      </c>
      <c r="ER8" s="386">
        <f t="shared" ref="ER8:ES8" si="26">IFERROR(AVERAGE(IFERROR(VALUE(CU8),""),IFERROR(VALUE(DB8),""),IFERROR(VALUE(DI8),""),IFERROR(VALUE(DO8),"")),"")</f>
        <v>0</v>
      </c>
      <c r="ES8" s="386">
        <f t="shared" si="26"/>
        <v>0</v>
      </c>
      <c r="ET8" s="386">
        <f t="shared" ref="ET8:EU8" si="27">IFERROR(AVERAGE(IFERROR(VALUE(CS8),""),IFERROR(VALUE(CZ8),""),IFERROR(VALUE(DG8),"")),"")</f>
        <v>0</v>
      </c>
      <c r="EU8" s="387">
        <f t="shared" si="27"/>
        <v>0</v>
      </c>
      <c r="EV8" s="51"/>
      <c r="EW8" s="51"/>
    </row>
    <row r="9">
      <c r="A9" s="52"/>
      <c r="B9" s="53" t="s">
        <v>166</v>
      </c>
      <c r="C9" s="25">
        <v>0.85</v>
      </c>
      <c r="D9" s="26" t="s">
        <v>167</v>
      </c>
      <c r="E9" s="26" t="s">
        <v>168</v>
      </c>
      <c r="F9" s="26" t="s">
        <v>169</v>
      </c>
      <c r="G9" s="26" t="s">
        <v>170</v>
      </c>
      <c r="H9" s="26">
        <v>0.247</v>
      </c>
      <c r="I9" s="26" t="s">
        <v>171</v>
      </c>
      <c r="J9" s="26" t="s">
        <v>172</v>
      </c>
      <c r="K9" s="26" t="s">
        <v>173</v>
      </c>
      <c r="L9" s="26" t="s">
        <v>174</v>
      </c>
      <c r="M9" s="26">
        <v>0.778</v>
      </c>
      <c r="N9" s="26" t="s">
        <v>175</v>
      </c>
      <c r="O9" s="26" t="s">
        <v>176</v>
      </c>
      <c r="P9" s="26" t="s">
        <v>177</v>
      </c>
      <c r="Q9" s="26" t="s">
        <v>178</v>
      </c>
      <c r="R9" s="26">
        <v>0.635</v>
      </c>
      <c r="S9" s="26" t="s">
        <v>179</v>
      </c>
      <c r="T9" s="26" t="s">
        <v>180</v>
      </c>
      <c r="U9" s="26" t="s">
        <v>73</v>
      </c>
      <c r="V9" s="26" t="s">
        <v>181</v>
      </c>
      <c r="W9" s="26">
        <v>0.705</v>
      </c>
      <c r="X9" s="26" t="s">
        <v>169</v>
      </c>
      <c r="Y9" s="26" t="s">
        <v>182</v>
      </c>
      <c r="Z9" s="26" t="s">
        <v>183</v>
      </c>
      <c r="AA9" s="26" t="s">
        <v>184</v>
      </c>
      <c r="AB9" s="26">
        <v>0.858</v>
      </c>
      <c r="AC9" s="26" t="s">
        <v>185</v>
      </c>
      <c r="AD9" s="26" t="s">
        <v>186</v>
      </c>
      <c r="AE9" s="26" t="s">
        <v>187</v>
      </c>
      <c r="AF9" s="27" t="s">
        <v>188</v>
      </c>
      <c r="AG9" s="26">
        <v>0.403</v>
      </c>
      <c r="AH9" s="26" t="s">
        <v>189</v>
      </c>
      <c r="AI9" s="26" t="s">
        <v>190</v>
      </c>
      <c r="AJ9" s="26">
        <v>0.077</v>
      </c>
      <c r="AK9" s="26" t="s">
        <v>191</v>
      </c>
      <c r="AL9" s="26" t="s">
        <v>192</v>
      </c>
      <c r="AM9" s="26">
        <v>0.475</v>
      </c>
      <c r="AN9" s="26" t="s">
        <v>121</v>
      </c>
      <c r="AO9" s="26" t="s">
        <v>193</v>
      </c>
      <c r="AP9" s="26">
        <v>0.041</v>
      </c>
      <c r="AQ9" s="26" t="s">
        <v>194</v>
      </c>
      <c r="AR9" s="26" t="s">
        <v>96</v>
      </c>
      <c r="AS9" s="26">
        <v>0.265</v>
      </c>
      <c r="AT9" s="26" t="s">
        <v>190</v>
      </c>
      <c r="AU9" s="26" t="s">
        <v>195</v>
      </c>
      <c r="AV9" s="28">
        <v>0.137</v>
      </c>
      <c r="AW9" s="26" t="s">
        <v>196</v>
      </c>
      <c r="AX9" s="26" t="s">
        <v>197</v>
      </c>
      <c r="AY9" s="29">
        <v>0.053</v>
      </c>
      <c r="AZ9" s="26" t="s">
        <v>198</v>
      </c>
      <c r="BA9" s="26" t="s">
        <v>199</v>
      </c>
      <c r="BB9" s="29">
        <v>0.064</v>
      </c>
      <c r="BC9" s="26" t="s">
        <v>200</v>
      </c>
      <c r="BD9" s="26" t="s">
        <v>201</v>
      </c>
      <c r="BE9" s="29">
        <v>0.188</v>
      </c>
      <c r="BF9" s="26" t="s">
        <v>137</v>
      </c>
      <c r="BG9" s="26" t="s">
        <v>121</v>
      </c>
      <c r="BH9" s="29">
        <v>0.094</v>
      </c>
      <c r="BI9" s="26" t="s">
        <v>202</v>
      </c>
      <c r="BJ9" s="26" t="s">
        <v>203</v>
      </c>
      <c r="BK9" s="29">
        <v>0.098</v>
      </c>
      <c r="BL9" s="29">
        <v>0.706</v>
      </c>
      <c r="BM9" s="29">
        <v>0.788</v>
      </c>
      <c r="BN9" s="29">
        <v>0.092</v>
      </c>
      <c r="BO9" s="29">
        <v>0.679</v>
      </c>
      <c r="BP9" s="29">
        <v>0.795</v>
      </c>
      <c r="BQ9" s="26"/>
      <c r="BR9" s="26"/>
      <c r="BS9" s="27"/>
      <c r="BT9" s="26">
        <v>0.545</v>
      </c>
      <c r="BU9" s="26" t="s">
        <v>204</v>
      </c>
      <c r="BV9" s="26" t="s">
        <v>205</v>
      </c>
      <c r="BW9" s="26" t="s">
        <v>206</v>
      </c>
      <c r="BX9" s="26" t="s">
        <v>207</v>
      </c>
      <c r="BY9" s="26">
        <v>0.784</v>
      </c>
      <c r="BZ9" s="26" t="s">
        <v>208</v>
      </c>
      <c r="CA9" s="26" t="s">
        <v>131</v>
      </c>
      <c r="CB9" s="26" t="s">
        <v>209</v>
      </c>
      <c r="CC9" s="26" t="s">
        <v>210</v>
      </c>
      <c r="CD9" s="26" t="s">
        <v>204</v>
      </c>
      <c r="CE9" s="26" t="s">
        <v>211</v>
      </c>
      <c r="CF9" s="26" t="s">
        <v>212</v>
      </c>
      <c r="CG9" s="26" t="s">
        <v>213</v>
      </c>
      <c r="CH9" s="4">
        <v>0.976993865</v>
      </c>
      <c r="CI9" s="4">
        <v>0.9736681475</v>
      </c>
      <c r="CJ9" s="4">
        <v>0.9915644172</v>
      </c>
      <c r="CK9" s="4">
        <v>0.870514462</v>
      </c>
      <c r="CL9" s="4">
        <v>0.6606112545</v>
      </c>
      <c r="CM9" s="144">
        <v>0.626</v>
      </c>
      <c r="CN9" s="144">
        <v>0.63</v>
      </c>
      <c r="CO9" s="224">
        <v>0.265</v>
      </c>
      <c r="CP9" s="144">
        <v>0.072</v>
      </c>
      <c r="CQ9" s="145">
        <v>0.611</v>
      </c>
      <c r="CR9" s="4">
        <v>0.75</v>
      </c>
      <c r="CS9" s="4">
        <v>0.544</v>
      </c>
      <c r="CT9" s="4">
        <v>0.121</v>
      </c>
      <c r="CU9" s="4">
        <v>0.211</v>
      </c>
      <c r="CV9" s="4">
        <v>0.05</v>
      </c>
      <c r="CW9" s="4">
        <v>0.205</v>
      </c>
      <c r="CX9" s="4">
        <v>0.891</v>
      </c>
      <c r="CY9" s="4">
        <v>0.934</v>
      </c>
      <c r="CZ9" s="4">
        <v>0.676</v>
      </c>
      <c r="DA9" s="4">
        <v>0.219</v>
      </c>
      <c r="DB9" s="4">
        <v>0.748</v>
      </c>
      <c r="DC9" s="4">
        <v>0.55</v>
      </c>
      <c r="DD9" s="4">
        <v>0.317</v>
      </c>
      <c r="DE9" s="4">
        <v>0.676</v>
      </c>
      <c r="DF9" s="4">
        <v>0.827</v>
      </c>
      <c r="DG9" s="4">
        <v>0.469</v>
      </c>
      <c r="DH9" s="4">
        <v>0.062</v>
      </c>
      <c r="DI9" s="4">
        <v>0.282</v>
      </c>
      <c r="DJ9" s="4">
        <v>0.149</v>
      </c>
      <c r="DK9" s="4">
        <v>0.058</v>
      </c>
      <c r="DL9" s="4">
        <v>0.872</v>
      </c>
      <c r="DM9" s="4" t="s">
        <v>214</v>
      </c>
      <c r="DN9" s="4" t="s">
        <v>215</v>
      </c>
      <c r="DO9" s="4" t="s">
        <v>216</v>
      </c>
      <c r="DP9" s="238" t="s">
        <v>217</v>
      </c>
      <c r="DQ9" s="352">
        <v>0.221</v>
      </c>
      <c r="DR9" s="352">
        <v>0.627</v>
      </c>
      <c r="DS9" s="352">
        <v>0.716</v>
      </c>
      <c r="DT9" s="352">
        <v>0.168</v>
      </c>
      <c r="DU9" s="352">
        <v>0.041</v>
      </c>
      <c r="DZ9" s="73">
        <f t="shared" ref="DZ9:ED9" si="28">IFERROR(AVERAGE(IFERROR(VALUE(C9),""),IFERROR(VALUE(H9),""),IFERROR(VALUE(M9),""),IFERROR(VALUE(R9),""),IFERROR(VALUE(W9),""),IFERROR(VALUE(AB9),"")),"")</f>
        <v>0.6788333333</v>
      </c>
      <c r="EA9" s="74">
        <f t="shared" si="28"/>
        <v>0.6746666667</v>
      </c>
      <c r="EB9" s="75">
        <f t="shared" si="28"/>
        <v>0.5308333333</v>
      </c>
      <c r="EC9" s="76">
        <f t="shared" si="28"/>
        <v>0.4238333333</v>
      </c>
      <c r="ED9" s="77">
        <f t="shared" si="28"/>
        <v>0.1361666667</v>
      </c>
      <c r="EE9" s="78">
        <f t="shared" ref="EE9:EG9" si="29">IFERROR(AVERAGE(IFERROR(VALUE(AG9),""),IFERROR(VALUE(AJ9),""),IFERROR(VALUE(AM9),""),IFERROR(VALUE(AP9),""),IFERROR(VALUE(AS9),"")),"")</f>
        <v>0.2522</v>
      </c>
      <c r="EF9" s="38">
        <f t="shared" si="29"/>
        <v>0.692</v>
      </c>
      <c r="EG9" s="79">
        <f t="shared" si="29"/>
        <v>0.6118</v>
      </c>
      <c r="EH9" s="80">
        <v>0.65</v>
      </c>
      <c r="EI9" s="81">
        <v>0.755</v>
      </c>
      <c r="EJ9" s="82">
        <f t="shared" si="8"/>
        <v>0.7686646217</v>
      </c>
      <c r="EK9" s="83">
        <f t="shared" si="9"/>
        <v>0.7679170369</v>
      </c>
      <c r="EL9" s="34">
        <f t="shared" si="10"/>
        <v>0.7643911043</v>
      </c>
      <c r="EM9" s="84">
        <f t="shared" si="11"/>
        <v>0.4673786155</v>
      </c>
      <c r="EN9" s="85">
        <f t="shared" si="12"/>
        <v>0.2441528136</v>
      </c>
      <c r="EO9" s="86">
        <v>0.872</v>
      </c>
      <c r="EP9" s="80">
        <f t="shared" ref="EP9:EQ9" si="30">IFERROR(AVERAGE(IFERROR(VALUE(CQ9),""),IFERROR(VALUE(CX9),""),IFERROR(VALUE(DE9),""),IFERROR(VALUE(DM9),"")),"")</f>
        <v>0.7455</v>
      </c>
      <c r="EQ9" s="42">
        <f t="shared" si="30"/>
        <v>0.865</v>
      </c>
      <c r="ER9" s="87">
        <f t="shared" ref="ER9:ES9" si="31">IFERROR(AVERAGE(IFERROR(VALUE(CU9),""),IFERROR(VALUE(DB9),""),IFERROR(VALUE(DI9),""),IFERROR(VALUE(DO9),"")),"")</f>
        <v>0.41325</v>
      </c>
      <c r="ES9" s="88">
        <f t="shared" si="31"/>
        <v>0.2535</v>
      </c>
      <c r="ET9" s="89">
        <f t="shared" ref="ET9:EU9" si="32">IFERROR(AVERAGE(IFERROR(VALUE(CS9),""),IFERROR(VALUE(CZ9),""),IFERROR(VALUE(DG9),"")),"")</f>
        <v>0.563</v>
      </c>
      <c r="EU9" s="90">
        <f t="shared" si="32"/>
        <v>0.134</v>
      </c>
      <c r="EV9" s="51">
        <v>0.623</v>
      </c>
      <c r="EW9" s="51">
        <v>0.104</v>
      </c>
    </row>
    <row r="10">
      <c r="A10" s="52"/>
      <c r="B10" s="53" t="s">
        <v>218</v>
      </c>
      <c r="C10" s="25">
        <v>0.867</v>
      </c>
      <c r="D10" s="26" t="s">
        <v>219</v>
      </c>
      <c r="E10" s="26" t="s">
        <v>62</v>
      </c>
      <c r="F10" s="26" t="s">
        <v>220</v>
      </c>
      <c r="G10" s="26" t="s">
        <v>221</v>
      </c>
      <c r="H10" s="26">
        <v>0.388</v>
      </c>
      <c r="I10" s="26" t="s">
        <v>222</v>
      </c>
      <c r="J10" s="26" t="s">
        <v>223</v>
      </c>
      <c r="K10" s="26" t="s">
        <v>224</v>
      </c>
      <c r="L10" s="26" t="s">
        <v>225</v>
      </c>
      <c r="M10" s="26">
        <v>0.782</v>
      </c>
      <c r="N10" s="26" t="s">
        <v>139</v>
      </c>
      <c r="O10" s="26" t="s">
        <v>85</v>
      </c>
      <c r="P10" s="26" t="s">
        <v>136</v>
      </c>
      <c r="Q10" s="26" t="s">
        <v>226</v>
      </c>
      <c r="R10" s="26">
        <v>0.654</v>
      </c>
      <c r="S10" s="26" t="s">
        <v>189</v>
      </c>
      <c r="T10" s="26" t="s">
        <v>227</v>
      </c>
      <c r="U10" s="26" t="s">
        <v>170</v>
      </c>
      <c r="V10" s="26" t="s">
        <v>228</v>
      </c>
      <c r="W10" s="26">
        <v>0.899</v>
      </c>
      <c r="X10" s="26" t="s">
        <v>229</v>
      </c>
      <c r="Y10" s="26" t="s">
        <v>71</v>
      </c>
      <c r="Z10" s="26" t="s">
        <v>170</v>
      </c>
      <c r="AA10" s="26" t="s">
        <v>228</v>
      </c>
      <c r="AB10" s="26">
        <v>0.958</v>
      </c>
      <c r="AC10" s="26" t="s">
        <v>230</v>
      </c>
      <c r="AD10" s="26" t="s">
        <v>75</v>
      </c>
      <c r="AE10" s="26" t="s">
        <v>134</v>
      </c>
      <c r="AF10" s="27" t="s">
        <v>231</v>
      </c>
      <c r="AG10" s="26">
        <v>0.467</v>
      </c>
      <c r="AH10" s="26" t="s">
        <v>168</v>
      </c>
      <c r="AI10" s="26" t="s">
        <v>232</v>
      </c>
      <c r="AJ10" s="26">
        <v>0.106</v>
      </c>
      <c r="AK10" s="26" t="s">
        <v>233</v>
      </c>
      <c r="AL10" s="26" t="s">
        <v>234</v>
      </c>
      <c r="AM10" s="26">
        <v>0.541</v>
      </c>
      <c r="AN10" s="26" t="s">
        <v>82</v>
      </c>
      <c r="AO10" s="26" t="s">
        <v>83</v>
      </c>
      <c r="AP10" s="26">
        <v>0.247</v>
      </c>
      <c r="AQ10" s="26" t="s">
        <v>235</v>
      </c>
      <c r="AR10" s="26" t="s">
        <v>236</v>
      </c>
      <c r="AS10" s="26">
        <v>0.43</v>
      </c>
      <c r="AT10" s="26" t="s">
        <v>237</v>
      </c>
      <c r="AU10" s="26" t="s">
        <v>238</v>
      </c>
      <c r="AV10" s="28">
        <v>0.163</v>
      </c>
      <c r="AW10" s="26" t="s">
        <v>94</v>
      </c>
      <c r="AX10" s="26" t="s">
        <v>239</v>
      </c>
      <c r="AY10" s="29">
        <v>0.066</v>
      </c>
      <c r="AZ10" s="26" t="s">
        <v>240</v>
      </c>
      <c r="BA10" s="26" t="s">
        <v>241</v>
      </c>
      <c r="BB10" s="29">
        <v>0.097</v>
      </c>
      <c r="BC10" s="26" t="s">
        <v>242</v>
      </c>
      <c r="BD10" s="26" t="s">
        <v>243</v>
      </c>
      <c r="BE10" s="29">
        <v>0.29</v>
      </c>
      <c r="BF10" s="26" t="s">
        <v>103</v>
      </c>
      <c r="BG10" s="26" t="s">
        <v>117</v>
      </c>
      <c r="BH10" s="29">
        <v>0.14</v>
      </c>
      <c r="BI10" s="26" t="s">
        <v>169</v>
      </c>
      <c r="BJ10" s="26" t="s">
        <v>244</v>
      </c>
      <c r="BK10" s="29">
        <v>0.124</v>
      </c>
      <c r="BL10" s="29">
        <v>0.724</v>
      </c>
      <c r="BM10" s="29">
        <v>0.804</v>
      </c>
      <c r="BN10" s="29">
        <v>0.124</v>
      </c>
      <c r="BO10" s="29">
        <v>0.741</v>
      </c>
      <c r="BP10" s="29">
        <v>0.835</v>
      </c>
      <c r="BQ10" s="26"/>
      <c r="BR10" s="26"/>
      <c r="BS10" s="27"/>
      <c r="BT10" s="26" t="s">
        <v>245</v>
      </c>
      <c r="BU10" s="26" t="s">
        <v>246</v>
      </c>
      <c r="BV10" s="26" t="s">
        <v>247</v>
      </c>
      <c r="BW10" s="26" t="s">
        <v>248</v>
      </c>
      <c r="BX10" s="26" t="s">
        <v>249</v>
      </c>
      <c r="BY10" s="26" t="s">
        <v>250</v>
      </c>
      <c r="BZ10" s="26" t="s">
        <v>150</v>
      </c>
      <c r="CA10" s="26" t="s">
        <v>251</v>
      </c>
      <c r="CB10" s="26" t="s">
        <v>252</v>
      </c>
      <c r="CC10" s="26" t="s">
        <v>253</v>
      </c>
      <c r="CD10" s="26" t="s">
        <v>254</v>
      </c>
      <c r="CE10" s="26" t="s">
        <v>255</v>
      </c>
      <c r="CF10" s="26" t="s">
        <v>256</v>
      </c>
      <c r="CG10" s="26" t="s">
        <v>257</v>
      </c>
      <c r="CH10" s="4">
        <v>0.9946319018</v>
      </c>
      <c r="CI10" s="4">
        <v>0.9840461934</v>
      </c>
      <c r="CJ10" s="4">
        <v>0.9882413088</v>
      </c>
      <c r="CK10" s="4">
        <v>0.8204137057</v>
      </c>
      <c r="CL10" s="4">
        <v>0.5891445092</v>
      </c>
      <c r="CM10" s="144">
        <v>0.687</v>
      </c>
      <c r="CN10" s="144">
        <v>0.721</v>
      </c>
      <c r="CO10" s="144">
        <v>0.357</v>
      </c>
      <c r="CP10" s="144">
        <v>0.126</v>
      </c>
      <c r="CQ10" s="145">
        <v>0.796</v>
      </c>
      <c r="CR10" s="4">
        <v>0.875</v>
      </c>
      <c r="CS10" s="4">
        <v>0.511</v>
      </c>
      <c r="CT10" s="4">
        <v>0.121</v>
      </c>
      <c r="CU10" s="4">
        <v>0.58</v>
      </c>
      <c r="CV10" s="4">
        <v>0.369</v>
      </c>
      <c r="CW10" s="4">
        <v>0.245</v>
      </c>
      <c r="CX10" s="4">
        <v>0.896</v>
      </c>
      <c r="CY10" s="4">
        <v>0.968</v>
      </c>
      <c r="CZ10" s="4">
        <v>0.714</v>
      </c>
      <c r="DA10" s="4">
        <v>0.296</v>
      </c>
      <c r="DB10" s="4">
        <v>0.809</v>
      </c>
      <c r="DC10" s="4">
        <v>0.67</v>
      </c>
      <c r="DD10" s="4">
        <v>0.391</v>
      </c>
      <c r="DE10" s="4">
        <v>0.79</v>
      </c>
      <c r="DF10" s="4">
        <v>0.875</v>
      </c>
      <c r="DG10" s="4">
        <v>0.456</v>
      </c>
      <c r="DH10" s="4">
        <v>0.037</v>
      </c>
      <c r="DI10" s="4">
        <v>0.558</v>
      </c>
      <c r="DJ10" s="4">
        <v>0.374</v>
      </c>
      <c r="DK10" s="4">
        <v>0.054</v>
      </c>
      <c r="DL10" s="4">
        <v>0.981</v>
      </c>
      <c r="DM10" s="4" t="s">
        <v>158</v>
      </c>
      <c r="DN10" s="4" t="s">
        <v>258</v>
      </c>
      <c r="DO10" s="4" t="s">
        <v>259</v>
      </c>
      <c r="DP10" s="238" t="s">
        <v>260</v>
      </c>
      <c r="DQ10" s="352">
        <v>0.155</v>
      </c>
      <c r="DR10" s="352">
        <v>0.75</v>
      </c>
      <c r="DS10" s="352">
        <v>0.805</v>
      </c>
      <c r="DT10" s="352">
        <v>0.408</v>
      </c>
      <c r="DU10" s="352">
        <v>0.233</v>
      </c>
      <c r="DZ10" s="91">
        <f t="shared" ref="DZ10:ED10" si="33">IFERROR(AVERAGE(IFERROR(VALUE(C10),""),IFERROR(VALUE(H10),""),IFERROR(VALUE(M10),""),IFERROR(VALUE(R10),""),IFERROR(VALUE(W10),""),IFERROR(VALUE(AB10),"")),"")</f>
        <v>0.758</v>
      </c>
      <c r="EA10" s="92">
        <f t="shared" si="33"/>
        <v>0.7483333333</v>
      </c>
      <c r="EB10" s="34">
        <f t="shared" si="33"/>
        <v>0.6246666667</v>
      </c>
      <c r="EC10" s="83">
        <f t="shared" si="33"/>
        <v>0.4781666667</v>
      </c>
      <c r="ED10" s="93">
        <f t="shared" si="33"/>
        <v>0.2418333333</v>
      </c>
      <c r="EE10" s="94">
        <f t="shared" ref="EE10:EG10" si="34">IFERROR(AVERAGE(IFERROR(VALUE(AG10),""),IFERROR(VALUE(AJ10),""),IFERROR(VALUE(AM10),""),IFERROR(VALUE(AP10),""),IFERROR(VALUE(AS10),"")),"")</f>
        <v>0.3582</v>
      </c>
      <c r="EF10" s="95">
        <f t="shared" si="34"/>
        <v>0.7136</v>
      </c>
      <c r="EG10" s="96">
        <f t="shared" si="34"/>
        <v>0.6424</v>
      </c>
      <c r="EH10" s="34">
        <v>0.676</v>
      </c>
      <c r="EI10" s="97">
        <v>0.81</v>
      </c>
      <c r="EJ10" s="19" t="str">
        <f t="shared" si="8"/>
        <v/>
      </c>
      <c r="EK10" s="49">
        <f t="shared" si="9"/>
        <v>0.8170115484</v>
      </c>
      <c r="EL10" s="98">
        <f t="shared" si="10"/>
        <v>0.7913103272</v>
      </c>
      <c r="EM10" s="99">
        <f t="shared" si="11"/>
        <v>0.5273534264</v>
      </c>
      <c r="EN10" s="100">
        <f t="shared" si="12"/>
        <v>0.3070361273</v>
      </c>
      <c r="EO10" s="101">
        <v>0.981</v>
      </c>
      <c r="EP10" s="102">
        <f t="shared" ref="EP10:EQ10" si="35">IFERROR(AVERAGE(IFERROR(VALUE(CQ10),""),IFERROR(VALUE(CX10),""),IFERROR(VALUE(DE10),""),IFERROR(VALUE(DM10),"")),"")</f>
        <v>0.8325</v>
      </c>
      <c r="EQ10" s="103">
        <f t="shared" si="35"/>
        <v>0.91925</v>
      </c>
      <c r="ER10" s="104">
        <f t="shared" ref="ER10:ES10" si="36">IFERROR(AVERAGE(IFERROR(VALUE(CU10),""),IFERROR(VALUE(DB10),""),IFERROR(VALUE(DI10),""),IFERROR(VALUE(DO10),"")),"")</f>
        <v>0.6465</v>
      </c>
      <c r="ES10" s="105">
        <f t="shared" si="36"/>
        <v>0.502</v>
      </c>
      <c r="ET10" s="106">
        <f t="shared" ref="ET10:EU10" si="37">IFERROR(AVERAGE(IFERROR(VALUE(CS10),""),IFERROR(VALUE(CZ10),""),IFERROR(VALUE(DG10),"")),"")</f>
        <v>0.5603333333</v>
      </c>
      <c r="EU10" s="107">
        <f t="shared" si="37"/>
        <v>0.1513333333</v>
      </c>
      <c r="EV10" s="51">
        <v>0.632</v>
      </c>
      <c r="EW10" s="51">
        <v>0.143</v>
      </c>
    </row>
    <row r="11">
      <c r="A11" s="52"/>
      <c r="B11" s="53" t="s">
        <v>261</v>
      </c>
      <c r="C11" s="25">
        <v>0.852</v>
      </c>
      <c r="D11" s="26" t="s">
        <v>143</v>
      </c>
      <c r="E11" s="26" t="s">
        <v>262</v>
      </c>
      <c r="F11" s="26" t="s">
        <v>263</v>
      </c>
      <c r="G11" s="26" t="s">
        <v>68</v>
      </c>
      <c r="H11" s="26">
        <v>0.318</v>
      </c>
      <c r="I11" s="26" t="s">
        <v>220</v>
      </c>
      <c r="J11" s="26" t="s">
        <v>264</v>
      </c>
      <c r="K11" s="26" t="s">
        <v>265</v>
      </c>
      <c r="L11" s="26" t="s">
        <v>266</v>
      </c>
      <c r="M11" s="26">
        <v>0.769</v>
      </c>
      <c r="N11" s="26" t="s">
        <v>267</v>
      </c>
      <c r="O11" s="26" t="s">
        <v>268</v>
      </c>
      <c r="P11" s="26" t="s">
        <v>269</v>
      </c>
      <c r="Q11" s="26" t="s">
        <v>270</v>
      </c>
      <c r="R11" s="26">
        <v>0.6615</v>
      </c>
      <c r="S11" s="26" t="s">
        <v>271</v>
      </c>
      <c r="T11" s="26" t="s">
        <v>272</v>
      </c>
      <c r="U11" s="26" t="s">
        <v>273</v>
      </c>
      <c r="V11" s="26" t="s">
        <v>274</v>
      </c>
      <c r="W11" s="26">
        <v>0.77</v>
      </c>
      <c r="X11" s="26" t="s">
        <v>169</v>
      </c>
      <c r="Y11" s="26" t="s">
        <v>275</v>
      </c>
      <c r="Z11" s="26" t="s">
        <v>276</v>
      </c>
      <c r="AA11" s="26" t="s">
        <v>277</v>
      </c>
      <c r="AB11" s="26">
        <v>0.858</v>
      </c>
      <c r="AC11" s="26" t="s">
        <v>116</v>
      </c>
      <c r="AD11" s="26" t="s">
        <v>278</v>
      </c>
      <c r="AE11" s="26" t="s">
        <v>279</v>
      </c>
      <c r="AF11" s="27" t="s">
        <v>280</v>
      </c>
      <c r="AG11" s="26">
        <v>0.465</v>
      </c>
      <c r="AH11" s="26" t="s">
        <v>281</v>
      </c>
      <c r="AI11" s="26" t="s">
        <v>111</v>
      </c>
      <c r="AJ11" s="26">
        <v>0.111</v>
      </c>
      <c r="AK11" s="72">
        <v>0.711</v>
      </c>
      <c r="AL11" s="72">
        <v>0.293</v>
      </c>
      <c r="AM11" s="26">
        <v>0.472</v>
      </c>
      <c r="AN11" s="26" t="s">
        <v>282</v>
      </c>
      <c r="AO11" s="26" t="s">
        <v>283</v>
      </c>
      <c r="AP11" s="26">
        <v>0.344</v>
      </c>
      <c r="AQ11" s="26" t="s">
        <v>284</v>
      </c>
      <c r="AR11" s="26" t="s">
        <v>285</v>
      </c>
      <c r="AS11" s="26">
        <v>0.309</v>
      </c>
      <c r="AT11" s="26" t="s">
        <v>286</v>
      </c>
      <c r="AU11" s="26" t="s">
        <v>287</v>
      </c>
      <c r="AV11" s="28">
        <v>0.142</v>
      </c>
      <c r="AW11" s="26" t="s">
        <v>119</v>
      </c>
      <c r="AX11" s="26" t="s">
        <v>288</v>
      </c>
      <c r="AY11" s="29">
        <v>0.044</v>
      </c>
      <c r="AZ11" s="26" t="s">
        <v>289</v>
      </c>
      <c r="BA11" s="26" t="s">
        <v>290</v>
      </c>
      <c r="BB11" s="29">
        <v>0.05</v>
      </c>
      <c r="BC11" s="26" t="s">
        <v>291</v>
      </c>
      <c r="BD11" s="26" t="s">
        <v>244</v>
      </c>
      <c r="BE11" s="29">
        <v>0.196</v>
      </c>
      <c r="BF11" s="26" t="s">
        <v>189</v>
      </c>
      <c r="BG11" s="26" t="s">
        <v>292</v>
      </c>
      <c r="BH11" s="29">
        <v>0.05</v>
      </c>
      <c r="BI11" s="26" t="s">
        <v>263</v>
      </c>
      <c r="BJ11" s="26" t="s">
        <v>189</v>
      </c>
      <c r="BK11" s="29">
        <v>0.081</v>
      </c>
      <c r="BL11" s="29">
        <v>0.74</v>
      </c>
      <c r="BM11" s="29">
        <v>0.776</v>
      </c>
      <c r="BN11" s="29">
        <v>0.082</v>
      </c>
      <c r="BO11" s="29">
        <v>0.714</v>
      </c>
      <c r="BP11" s="29">
        <v>0.82</v>
      </c>
      <c r="BQ11" s="26"/>
      <c r="BR11" s="26"/>
      <c r="BS11" s="27"/>
      <c r="BT11" s="26">
        <v>0.89</v>
      </c>
      <c r="BU11" s="26" t="s">
        <v>293</v>
      </c>
      <c r="BV11" s="26" t="s">
        <v>88</v>
      </c>
      <c r="BW11" s="26" t="s">
        <v>294</v>
      </c>
      <c r="BX11" s="26" t="s">
        <v>295</v>
      </c>
      <c r="BY11" s="26">
        <v>0.927</v>
      </c>
      <c r="BZ11" s="26" t="s">
        <v>194</v>
      </c>
      <c r="CA11" s="26" t="s">
        <v>291</v>
      </c>
      <c r="CB11" s="26" t="s">
        <v>296</v>
      </c>
      <c r="CC11" s="26" t="s">
        <v>297</v>
      </c>
      <c r="CD11" s="26" t="s">
        <v>298</v>
      </c>
      <c r="CE11" s="26" t="s">
        <v>299</v>
      </c>
      <c r="CF11" s="26" t="s">
        <v>703</v>
      </c>
      <c r="CG11" s="26" t="s">
        <v>300</v>
      </c>
      <c r="CH11" s="4"/>
      <c r="CI11" s="4"/>
      <c r="CJ11" s="4"/>
      <c r="CK11" s="4"/>
      <c r="CL11" s="4"/>
      <c r="CM11" s="144">
        <v>0.621</v>
      </c>
      <c r="CN11" s="144">
        <v>0.661</v>
      </c>
      <c r="CO11" s="144">
        <v>0.318</v>
      </c>
      <c r="CP11" s="144">
        <v>0.089</v>
      </c>
      <c r="CQ11" s="145">
        <v>0.684</v>
      </c>
      <c r="CR11" s="4">
        <v>0.825</v>
      </c>
      <c r="CS11" s="4">
        <v>0.521</v>
      </c>
      <c r="CT11" s="4">
        <v>0.117</v>
      </c>
      <c r="CU11" s="4">
        <v>0.374</v>
      </c>
      <c r="CV11" s="4">
        <v>0.181</v>
      </c>
      <c r="CW11" s="4">
        <v>0.23</v>
      </c>
      <c r="CX11" s="4">
        <v>0.875</v>
      </c>
      <c r="CY11" s="4">
        <v>0.943</v>
      </c>
      <c r="CZ11" s="4">
        <v>0.634</v>
      </c>
      <c r="DA11" s="4">
        <v>0.192</v>
      </c>
      <c r="DB11" s="4">
        <v>0.794</v>
      </c>
      <c r="DC11" s="4">
        <v>0.656</v>
      </c>
      <c r="DD11" s="4">
        <v>0.292</v>
      </c>
      <c r="DE11" s="4">
        <v>0.654</v>
      </c>
      <c r="DF11" s="4">
        <v>0.738</v>
      </c>
      <c r="DG11" s="4">
        <v>0.492</v>
      </c>
      <c r="DH11" s="4">
        <v>0.084</v>
      </c>
      <c r="DI11" s="4">
        <v>0.243</v>
      </c>
      <c r="DJ11" s="4">
        <v>0.113</v>
      </c>
      <c r="DK11" s="4">
        <v>0.118</v>
      </c>
      <c r="DL11" s="4">
        <v>0.967</v>
      </c>
      <c r="DM11" s="4" t="s">
        <v>301</v>
      </c>
      <c r="DN11" s="4" t="s">
        <v>302</v>
      </c>
      <c r="DO11" s="4" t="s">
        <v>303</v>
      </c>
      <c r="DP11" s="238" t="s">
        <v>304</v>
      </c>
      <c r="DQ11" s="352">
        <v>0.35</v>
      </c>
      <c r="DR11" s="352">
        <v>0.622</v>
      </c>
      <c r="DS11" s="352">
        <v>0.706</v>
      </c>
      <c r="DT11" s="352">
        <v>0.151</v>
      </c>
      <c r="DU11" s="352">
        <v>0.038</v>
      </c>
      <c r="DZ11" s="108">
        <f t="shared" ref="DZ11:ED11" si="38">IFERROR(AVERAGE(IFERROR(VALUE(C11),""),IFERROR(VALUE(H11),""),IFERROR(VALUE(M11),""),IFERROR(VALUE(R11),""),IFERROR(VALUE(W11),""),IFERROR(VALUE(AB11),"")),"")</f>
        <v>0.70475</v>
      </c>
      <c r="EA11" s="109">
        <f t="shared" si="38"/>
        <v>0.6465</v>
      </c>
      <c r="EB11" s="110">
        <f t="shared" si="38"/>
        <v>0.4915</v>
      </c>
      <c r="EC11" s="111">
        <f t="shared" si="38"/>
        <v>0.41</v>
      </c>
      <c r="ED11" s="71">
        <f t="shared" si="38"/>
        <v>0.1106666667</v>
      </c>
      <c r="EE11" s="33">
        <f t="shared" ref="EE11:EG11" si="39">IFERROR(AVERAGE(IFERROR(VALUE(AG11),""),IFERROR(VALUE(AJ11),""),IFERROR(VALUE(AM11),""),IFERROR(VALUE(AP11),""),IFERROR(VALUE(AS11),"")),"")</f>
        <v>0.3402</v>
      </c>
      <c r="EF11" s="38">
        <f t="shared" si="39"/>
        <v>0.689</v>
      </c>
      <c r="EG11" s="112">
        <f t="shared" si="39"/>
        <v>0.6342</v>
      </c>
      <c r="EH11" s="38">
        <v>0.67</v>
      </c>
      <c r="EI11" s="113">
        <v>0.774</v>
      </c>
      <c r="EJ11" s="114">
        <f t="shared" si="8"/>
        <v>0.6056666667</v>
      </c>
      <c r="EK11" s="115">
        <f t="shared" si="9"/>
        <v>0.508</v>
      </c>
      <c r="EL11" s="116">
        <f t="shared" si="10"/>
        <v>0.46925</v>
      </c>
      <c r="EM11" s="117">
        <f t="shared" si="11"/>
        <v>0.26375</v>
      </c>
      <c r="EN11" s="118">
        <f t="shared" si="12"/>
        <v>0.1005</v>
      </c>
      <c r="EO11" s="119">
        <v>0.967</v>
      </c>
      <c r="EP11" s="35">
        <f t="shared" ref="EP11:EQ11" si="40">IFERROR(AVERAGE(IFERROR(VALUE(CQ11),""),IFERROR(VALUE(CX11),""),IFERROR(VALUE(DE11),""),IFERROR(VALUE(DM11),"")),"")</f>
        <v>0.76325</v>
      </c>
      <c r="EQ11" s="84">
        <f t="shared" si="40"/>
        <v>0.85975</v>
      </c>
      <c r="ER11" s="83">
        <f t="shared" ref="ER11:ES11" si="41">IFERROR(AVERAGE(IFERROR(VALUE(CU11),""),IFERROR(VALUE(DB11),""),IFERROR(VALUE(DI11),""),IFERROR(VALUE(DO11),"")),"")</f>
        <v>0.505</v>
      </c>
      <c r="ES11" s="34">
        <f t="shared" si="41"/>
        <v>0.373</v>
      </c>
      <c r="ET11" s="120">
        <f t="shared" ref="ET11:EU11" si="42">IFERROR(AVERAGE(IFERROR(VALUE(CS11),""),IFERROR(VALUE(CZ11),""),IFERROR(VALUE(DG11),"")),"")</f>
        <v>0.549</v>
      </c>
      <c r="EU11" s="121">
        <f t="shared" si="42"/>
        <v>0.131</v>
      </c>
      <c r="EV11" s="51">
        <v>0.623</v>
      </c>
      <c r="EW11" s="51">
        <v>0.092</v>
      </c>
    </row>
    <row r="12">
      <c r="A12" s="52"/>
      <c r="B12" s="53" t="s">
        <v>305</v>
      </c>
      <c r="C12" s="25">
        <v>0.926</v>
      </c>
      <c r="D12" s="26" t="s">
        <v>306</v>
      </c>
      <c r="E12" s="26" t="s">
        <v>307</v>
      </c>
      <c r="F12" s="26" t="s">
        <v>140</v>
      </c>
      <c r="G12" s="26" t="s">
        <v>308</v>
      </c>
      <c r="H12" s="26">
        <v>0.58</v>
      </c>
      <c r="I12" s="26" t="s">
        <v>309</v>
      </c>
      <c r="J12" s="26" t="s">
        <v>310</v>
      </c>
      <c r="K12" s="26" t="s">
        <v>311</v>
      </c>
      <c r="L12" s="26" t="s">
        <v>312</v>
      </c>
      <c r="M12" s="26">
        <v>0.804</v>
      </c>
      <c r="N12" s="26" t="s">
        <v>146</v>
      </c>
      <c r="O12" s="26" t="s">
        <v>313</v>
      </c>
      <c r="P12" s="26" t="s">
        <v>212</v>
      </c>
      <c r="Q12" s="26" t="s">
        <v>314</v>
      </c>
      <c r="R12" s="26">
        <v>0.72</v>
      </c>
      <c r="S12" s="26" t="s">
        <v>148</v>
      </c>
      <c r="T12" s="26" t="s">
        <v>202</v>
      </c>
      <c r="U12" s="26" t="s">
        <v>257</v>
      </c>
      <c r="V12" s="26" t="s">
        <v>172</v>
      </c>
      <c r="W12" s="26">
        <v>0.885</v>
      </c>
      <c r="X12" s="26" t="s">
        <v>208</v>
      </c>
      <c r="Y12" s="26" t="s">
        <v>200</v>
      </c>
      <c r="Z12" s="26" t="s">
        <v>294</v>
      </c>
      <c r="AA12" s="26" t="s">
        <v>315</v>
      </c>
      <c r="AB12" s="26">
        <v>0.912</v>
      </c>
      <c r="AC12" s="26" t="s">
        <v>316</v>
      </c>
      <c r="AD12" s="26" t="s">
        <v>317</v>
      </c>
      <c r="AE12" s="26" t="s">
        <v>318</v>
      </c>
      <c r="AF12" s="27" t="s">
        <v>319</v>
      </c>
      <c r="AG12" s="26">
        <v>0.601</v>
      </c>
      <c r="AH12" s="26" t="s">
        <v>222</v>
      </c>
      <c r="AI12" s="26" t="s">
        <v>320</v>
      </c>
      <c r="AJ12" s="26">
        <v>0.124</v>
      </c>
      <c r="AK12" s="26" t="s">
        <v>283</v>
      </c>
      <c r="AL12" s="26" t="s">
        <v>321</v>
      </c>
      <c r="AM12" s="26">
        <v>0.596</v>
      </c>
      <c r="AN12" s="26" t="s">
        <v>279</v>
      </c>
      <c r="AO12" s="26" t="s">
        <v>322</v>
      </c>
      <c r="AP12" s="26">
        <v>0.159</v>
      </c>
      <c r="AQ12" s="26" t="s">
        <v>137</v>
      </c>
      <c r="AR12" s="26" t="s">
        <v>244</v>
      </c>
      <c r="AS12" s="26">
        <v>0.447</v>
      </c>
      <c r="AT12" s="26" t="s">
        <v>323</v>
      </c>
      <c r="AU12" s="26" t="s">
        <v>324</v>
      </c>
      <c r="AV12" s="28">
        <v>0.244</v>
      </c>
      <c r="AW12" s="26" t="s">
        <v>176</v>
      </c>
      <c r="AX12" s="26" t="s">
        <v>325</v>
      </c>
      <c r="AY12" s="29">
        <v>0.132</v>
      </c>
      <c r="AZ12" s="26" t="s">
        <v>326</v>
      </c>
      <c r="BA12" s="26" t="s">
        <v>327</v>
      </c>
      <c r="BB12" s="29">
        <v>0.177</v>
      </c>
      <c r="BC12" s="26" t="s">
        <v>328</v>
      </c>
      <c r="BD12" s="26" t="s">
        <v>329</v>
      </c>
      <c r="BE12" s="29">
        <v>0.419</v>
      </c>
      <c r="BF12" s="26" t="s">
        <v>330</v>
      </c>
      <c r="BG12" s="26" t="s">
        <v>331</v>
      </c>
      <c r="BH12" s="29">
        <v>0.251</v>
      </c>
      <c r="BI12" s="26" t="s">
        <v>332</v>
      </c>
      <c r="BJ12" s="26" t="s">
        <v>333</v>
      </c>
      <c r="BK12" s="29">
        <v>0.143</v>
      </c>
      <c r="BL12" s="30">
        <v>0.749</v>
      </c>
      <c r="BM12" s="30">
        <v>0.844</v>
      </c>
      <c r="BN12" s="29">
        <v>0.197</v>
      </c>
      <c r="BO12" s="29">
        <v>0.796</v>
      </c>
      <c r="BP12" s="29">
        <v>0.869</v>
      </c>
      <c r="BQ12" s="26"/>
      <c r="BR12" s="26"/>
      <c r="BS12" s="27"/>
      <c r="BT12" s="26">
        <v>0.885</v>
      </c>
      <c r="BU12" s="26" t="s">
        <v>334</v>
      </c>
      <c r="BV12" s="26" t="s">
        <v>335</v>
      </c>
      <c r="BW12" s="26" t="s">
        <v>336</v>
      </c>
      <c r="BX12" s="26" t="s">
        <v>337</v>
      </c>
      <c r="BY12" s="26">
        <v>0.916</v>
      </c>
      <c r="BZ12" s="26" t="s">
        <v>338</v>
      </c>
      <c r="CA12" s="26" t="s">
        <v>306</v>
      </c>
      <c r="CB12" s="26" t="s">
        <v>339</v>
      </c>
      <c r="CC12" s="26" t="s">
        <v>340</v>
      </c>
      <c r="CD12" s="26" t="s">
        <v>341</v>
      </c>
      <c r="CE12" s="26" t="s">
        <v>137</v>
      </c>
      <c r="CF12" s="26" t="s">
        <v>311</v>
      </c>
      <c r="CG12" s="26" t="s">
        <v>342</v>
      </c>
      <c r="CH12" s="4">
        <v>0.9445296524</v>
      </c>
      <c r="CI12" s="4">
        <v>0.9429376853</v>
      </c>
      <c r="CJ12" s="4">
        <v>0.9097648262</v>
      </c>
      <c r="CK12" s="4">
        <v>0.834580873</v>
      </c>
      <c r="CL12" s="4">
        <v>0.617049719</v>
      </c>
      <c r="CM12" s="144">
        <v>0.736</v>
      </c>
      <c r="CN12" s="144">
        <v>0.776</v>
      </c>
      <c r="CO12" s="144">
        <v>0.438</v>
      </c>
      <c r="CP12" s="144">
        <v>0.16</v>
      </c>
      <c r="CQ12" s="145">
        <v>0.916</v>
      </c>
      <c r="CR12" s="4">
        <v>0.99</v>
      </c>
      <c r="CS12" s="4">
        <v>0.489</v>
      </c>
      <c r="CT12" s="4">
        <v>0.094</v>
      </c>
      <c r="CU12" s="4">
        <v>0.921</v>
      </c>
      <c r="CV12" s="4">
        <v>0.876</v>
      </c>
      <c r="CW12" s="4">
        <v>0.185</v>
      </c>
      <c r="CX12" s="4">
        <v>0.942</v>
      </c>
      <c r="CY12" s="4">
        <v>0.98</v>
      </c>
      <c r="CZ12" s="4">
        <v>0.711</v>
      </c>
      <c r="DA12" s="4">
        <v>0.363</v>
      </c>
      <c r="DB12" s="4">
        <v>0.931</v>
      </c>
      <c r="DC12" s="4">
        <v>0.849</v>
      </c>
      <c r="DD12" s="4">
        <v>0.359</v>
      </c>
      <c r="DE12" s="4">
        <v>0.844</v>
      </c>
      <c r="DF12" s="4">
        <v>0.952</v>
      </c>
      <c r="DG12" s="4">
        <v>0.524</v>
      </c>
      <c r="DH12" s="4">
        <v>0.166</v>
      </c>
      <c r="DI12" s="4">
        <v>0.706</v>
      </c>
      <c r="DJ12" s="4">
        <v>0.582</v>
      </c>
      <c r="DK12" s="4">
        <v>0.112</v>
      </c>
      <c r="DL12" s="4">
        <v>0.984</v>
      </c>
      <c r="DM12" s="4" t="s">
        <v>343</v>
      </c>
      <c r="DN12" s="4" t="s">
        <v>316</v>
      </c>
      <c r="DO12" s="4" t="s">
        <v>168</v>
      </c>
      <c r="DP12" s="238" t="s">
        <v>137</v>
      </c>
      <c r="DQ12" s="352">
        <v>0.29</v>
      </c>
      <c r="DR12" s="352">
        <v>0.875</v>
      </c>
      <c r="DS12" s="352">
        <v>0.921</v>
      </c>
      <c r="DT12" s="352">
        <v>0.837</v>
      </c>
      <c r="DU12" s="352">
        <v>0.772</v>
      </c>
      <c r="DZ12" s="122">
        <f t="shared" ref="DZ12:ED12" si="43">IFERROR(AVERAGE(IFERROR(VALUE(C12),""),IFERROR(VALUE(H12),""),IFERROR(VALUE(M12),""),IFERROR(VALUE(R12),""),IFERROR(VALUE(W12),""),IFERROR(VALUE(AB12),"")),"")</f>
        <v>0.8045</v>
      </c>
      <c r="EA12" s="123">
        <f t="shared" si="43"/>
        <v>0.7736666667</v>
      </c>
      <c r="EB12" s="124">
        <f t="shared" si="43"/>
        <v>0.6703333333</v>
      </c>
      <c r="EC12" s="125">
        <f t="shared" si="43"/>
        <v>0.5596666667</v>
      </c>
      <c r="ED12" s="126">
        <f t="shared" si="43"/>
        <v>0.2716666667</v>
      </c>
      <c r="EE12" s="127">
        <f t="shared" ref="EE12:EG12" si="44">IFERROR(AVERAGE(IFERROR(VALUE(AG12),""),IFERROR(VALUE(AJ12),""),IFERROR(VALUE(AM12),""),IFERROR(VALUE(AP12),""),IFERROR(VALUE(AS12),"")),"")</f>
        <v>0.3854</v>
      </c>
      <c r="EF12" s="128">
        <f t="shared" si="44"/>
        <v>0.7244</v>
      </c>
      <c r="EG12" s="129">
        <f t="shared" si="44"/>
        <v>0.6614</v>
      </c>
      <c r="EH12" s="130">
        <v>0.723</v>
      </c>
      <c r="EI12" s="131">
        <v>0.85</v>
      </c>
      <c r="EJ12" s="132">
        <f t="shared" si="8"/>
        <v>0.9151765508</v>
      </c>
      <c r="EK12" s="133">
        <f t="shared" si="9"/>
        <v>0.8112344213</v>
      </c>
      <c r="EL12" s="134">
        <f t="shared" si="10"/>
        <v>0.7961912066</v>
      </c>
      <c r="EM12" s="135">
        <f t="shared" si="11"/>
        <v>0.5523952183</v>
      </c>
      <c r="EN12" s="136">
        <f t="shared" si="12"/>
        <v>0.3210124298</v>
      </c>
      <c r="EO12" s="137">
        <v>0.984</v>
      </c>
      <c r="EP12" s="138">
        <f t="shared" ref="EP12:EQ12" si="45">IFERROR(AVERAGE(IFERROR(VALUE(CQ12),""),IFERROR(VALUE(CX12),""),IFERROR(VALUE(DE12),""),IFERROR(VALUE(DM12),"")),"")</f>
        <v>0.88975</v>
      </c>
      <c r="EQ12" s="139">
        <f t="shared" si="45"/>
        <v>0.96825</v>
      </c>
      <c r="ER12" s="138">
        <f t="shared" ref="ER12:ES12" si="46">IFERROR(AVERAGE(IFERROR(VALUE(CU12),""),IFERROR(VALUE(DB12),""),IFERROR(VALUE(DI12),""),IFERROR(VALUE(DO12),"")),"")</f>
        <v>0.8075</v>
      </c>
      <c r="ES12" s="138">
        <f t="shared" si="46"/>
        <v>0.7335</v>
      </c>
      <c r="ET12" s="140">
        <f t="shared" ref="ET12:EU12" si="47">IFERROR(AVERAGE(IFERROR(VALUE(CS12),""),IFERROR(VALUE(CZ12),""),IFERROR(VALUE(DG12),"")),"")</f>
        <v>0.5746666667</v>
      </c>
      <c r="EU12" s="141">
        <f t="shared" si="47"/>
        <v>0.2076666667</v>
      </c>
      <c r="EV12" s="51">
        <v>0.646</v>
      </c>
      <c r="EW12" s="51">
        <v>0.223</v>
      </c>
    </row>
    <row r="13">
      <c r="A13" s="52"/>
      <c r="B13" s="142" t="s">
        <v>344</v>
      </c>
      <c r="C13" s="28">
        <v>0.841</v>
      </c>
      <c r="D13" s="29">
        <v>0.787</v>
      </c>
      <c r="E13" s="29">
        <v>0.643</v>
      </c>
      <c r="F13" s="29">
        <v>0.581</v>
      </c>
      <c r="G13" s="29">
        <v>0.203</v>
      </c>
      <c r="H13" s="29">
        <v>0.57</v>
      </c>
      <c r="I13" s="29">
        <v>0.798</v>
      </c>
      <c r="J13" s="29">
        <v>0.525</v>
      </c>
      <c r="K13" s="29">
        <v>0.635</v>
      </c>
      <c r="L13" s="29">
        <v>0.126</v>
      </c>
      <c r="M13" s="29">
        <v>0.756</v>
      </c>
      <c r="N13" s="29">
        <v>0.687</v>
      </c>
      <c r="O13" s="29">
        <v>0.655</v>
      </c>
      <c r="P13" s="29">
        <v>0.437</v>
      </c>
      <c r="Q13" s="29">
        <v>0.242</v>
      </c>
      <c r="R13" s="29">
        <v>0.622</v>
      </c>
      <c r="S13" s="29">
        <v>0.615</v>
      </c>
      <c r="T13" s="29">
        <v>0.415</v>
      </c>
      <c r="U13" s="29">
        <v>0.168</v>
      </c>
      <c r="V13" s="29">
        <v>0.081</v>
      </c>
      <c r="W13" s="29">
        <v>0.878</v>
      </c>
      <c r="X13" s="29">
        <v>0.664</v>
      </c>
      <c r="Y13" s="29">
        <v>0.655</v>
      </c>
      <c r="Z13" s="29">
        <v>0.309</v>
      </c>
      <c r="AA13" s="29">
        <v>0.088</v>
      </c>
      <c r="AB13" s="31">
        <v>0.89</v>
      </c>
      <c r="AC13" s="31">
        <v>0.921</v>
      </c>
      <c r="AD13" s="31">
        <v>0.85</v>
      </c>
      <c r="AE13" s="31">
        <v>0.777</v>
      </c>
      <c r="AF13" s="143">
        <v>0.372</v>
      </c>
      <c r="AG13" s="4">
        <v>0.465</v>
      </c>
      <c r="AH13" s="4">
        <v>0.598</v>
      </c>
      <c r="AI13" s="4">
        <v>0.864</v>
      </c>
      <c r="AJ13" s="4">
        <v>0.131</v>
      </c>
      <c r="AK13" s="4">
        <v>0.714</v>
      </c>
      <c r="AL13" s="4">
        <v>0.284</v>
      </c>
      <c r="AM13" s="4">
        <v>0.443</v>
      </c>
      <c r="AN13" s="4">
        <v>0.595</v>
      </c>
      <c r="AO13" s="4">
        <v>0.451</v>
      </c>
      <c r="AP13" s="144">
        <v>0.0834</v>
      </c>
      <c r="AQ13" s="144">
        <v>0.609</v>
      </c>
      <c r="AR13" s="144">
        <v>0.457</v>
      </c>
      <c r="AS13" s="4">
        <v>0.383</v>
      </c>
      <c r="AT13" s="4">
        <v>0.803</v>
      </c>
      <c r="AU13" s="4">
        <v>0.463</v>
      </c>
      <c r="AV13" s="145">
        <v>0.186</v>
      </c>
      <c r="AW13" s="4">
        <v>0.691</v>
      </c>
      <c r="AX13" s="4">
        <v>0.98</v>
      </c>
      <c r="AY13" s="4">
        <v>0.067</v>
      </c>
      <c r="AZ13" s="4">
        <v>0.619</v>
      </c>
      <c r="BA13" s="4">
        <v>0.85</v>
      </c>
      <c r="BB13" s="4">
        <v>0.151</v>
      </c>
      <c r="BC13" s="4">
        <v>0.811</v>
      </c>
      <c r="BD13" s="4">
        <v>0.758</v>
      </c>
      <c r="BE13" s="4">
        <v>0.252</v>
      </c>
      <c r="BF13" s="4">
        <v>0.639</v>
      </c>
      <c r="BG13" s="4">
        <v>0.594</v>
      </c>
      <c r="BH13" s="4">
        <v>0.183</v>
      </c>
      <c r="BI13" s="4">
        <v>0.582</v>
      </c>
      <c r="BJ13" s="4">
        <v>0.65</v>
      </c>
      <c r="BK13" s="4">
        <v>0.164</v>
      </c>
      <c r="BL13" s="4">
        <v>0.766</v>
      </c>
      <c r="BM13" s="4">
        <v>0.803</v>
      </c>
      <c r="BN13" s="4">
        <v>0.12</v>
      </c>
      <c r="BO13" s="4">
        <v>0.747</v>
      </c>
      <c r="BP13" s="4">
        <v>0.807</v>
      </c>
      <c r="BQ13" s="26"/>
      <c r="BR13" s="26"/>
      <c r="BS13" s="27"/>
      <c r="BT13" s="26"/>
      <c r="BU13" s="26"/>
      <c r="BV13" s="26"/>
      <c r="BW13" s="26"/>
      <c r="BX13" s="26"/>
      <c r="BY13" s="29">
        <v>0.9492273731</v>
      </c>
      <c r="BZ13" s="29">
        <v>0.6261931626</v>
      </c>
      <c r="CA13" s="29">
        <v>0.8388520971</v>
      </c>
      <c r="CB13" s="29">
        <v>0.2252897881</v>
      </c>
      <c r="CC13" s="29">
        <v>0.0489130819</v>
      </c>
      <c r="CD13" s="29">
        <v>0.8095149512</v>
      </c>
      <c r="CE13" s="29">
        <v>0.5101123596</v>
      </c>
      <c r="CF13" s="29">
        <v>0.5366117148</v>
      </c>
      <c r="CG13" s="29">
        <v>0.2076598273</v>
      </c>
      <c r="CH13" s="30">
        <v>0.9938650307</v>
      </c>
      <c r="CI13" s="30">
        <v>0.9593388382</v>
      </c>
      <c r="CJ13" s="30">
        <v>0.9943762781</v>
      </c>
      <c r="CK13" s="30">
        <v>0.9266671304</v>
      </c>
      <c r="CL13" s="30">
        <v>0.8052556969</v>
      </c>
      <c r="CM13" s="30">
        <v>0.6084182315</v>
      </c>
      <c r="CN13" s="30">
        <v>0.6139430285</v>
      </c>
      <c r="CO13" s="30">
        <v>0.2789928042</v>
      </c>
      <c r="CP13" s="30">
        <v>0.0823754905</v>
      </c>
      <c r="CQ13" s="29">
        <v>0.835</v>
      </c>
      <c r="CR13" s="29">
        <v>0.935</v>
      </c>
      <c r="CS13" s="29">
        <v>0.55</v>
      </c>
      <c r="CT13" s="29">
        <v>0.148</v>
      </c>
      <c r="CU13" s="29">
        <v>0.711</v>
      </c>
      <c r="CV13" s="29">
        <v>0.56</v>
      </c>
      <c r="CW13" s="29">
        <v>0.28</v>
      </c>
      <c r="CX13" s="29">
        <v>0.912</v>
      </c>
      <c r="CY13" s="29">
        <v>0.956</v>
      </c>
      <c r="CZ13" s="29">
        <v>0.713</v>
      </c>
      <c r="DA13" s="29">
        <v>0.365</v>
      </c>
      <c r="DB13" s="29">
        <v>0.84</v>
      </c>
      <c r="DC13" s="29">
        <v>0.727</v>
      </c>
      <c r="DD13" s="29">
        <v>0.383</v>
      </c>
      <c r="DE13" s="29">
        <v>0.655</v>
      </c>
      <c r="DF13" s="29">
        <v>0.783</v>
      </c>
      <c r="DG13" s="29">
        <v>0.518</v>
      </c>
      <c r="DH13" s="29">
        <v>0.228</v>
      </c>
      <c r="DI13" s="29">
        <v>0.244</v>
      </c>
      <c r="DJ13" s="29">
        <v>0.091</v>
      </c>
      <c r="DK13" s="29">
        <v>0.179</v>
      </c>
      <c r="DL13" s="26"/>
      <c r="DM13" s="26"/>
      <c r="DN13" s="26"/>
      <c r="DO13" s="26"/>
      <c r="DP13" s="27"/>
      <c r="DQ13" s="4"/>
      <c r="DR13" s="4"/>
      <c r="DS13" s="4"/>
      <c r="DT13" s="4"/>
      <c r="DU13" s="4"/>
      <c r="DZ13" s="147"/>
      <c r="EA13" s="148"/>
      <c r="EB13" s="149"/>
      <c r="EC13" s="150"/>
      <c r="ED13" s="151"/>
      <c r="EE13" s="152"/>
      <c r="EF13" s="83"/>
      <c r="EG13" s="153"/>
      <c r="EH13" s="83"/>
      <c r="EI13" s="154"/>
      <c r="EJ13" s="155"/>
      <c r="EK13" s="156"/>
      <c r="EL13" s="157"/>
      <c r="EM13" s="158"/>
      <c r="EN13" s="159"/>
      <c r="EO13" s="137"/>
      <c r="EP13" s="160"/>
      <c r="EQ13" s="161"/>
      <c r="ER13" s="162"/>
      <c r="ES13" s="163"/>
      <c r="ET13" s="138"/>
      <c r="EU13" s="164"/>
      <c r="EV13" s="51"/>
      <c r="EW13" s="51"/>
    </row>
    <row r="14">
      <c r="A14" s="52"/>
      <c r="B14" s="53" t="s">
        <v>345</v>
      </c>
      <c r="C14" s="25">
        <v>0.897</v>
      </c>
      <c r="D14" s="26" t="s">
        <v>346</v>
      </c>
      <c r="E14" s="26" t="s">
        <v>93</v>
      </c>
      <c r="F14" s="26" t="s">
        <v>347</v>
      </c>
      <c r="G14" s="26" t="s">
        <v>348</v>
      </c>
      <c r="H14" s="26">
        <v>0.702</v>
      </c>
      <c r="I14" s="26" t="s">
        <v>349</v>
      </c>
      <c r="J14" s="26" t="s">
        <v>194</v>
      </c>
      <c r="K14" s="26" t="s">
        <v>350</v>
      </c>
      <c r="L14" s="26" t="s">
        <v>73</v>
      </c>
      <c r="M14" s="26">
        <v>0.782</v>
      </c>
      <c r="N14" s="26" t="s">
        <v>147</v>
      </c>
      <c r="O14" s="26" t="s">
        <v>176</v>
      </c>
      <c r="P14" s="26" t="s">
        <v>351</v>
      </c>
      <c r="Q14" s="26" t="s">
        <v>352</v>
      </c>
      <c r="R14" s="26">
        <v>0.706</v>
      </c>
      <c r="S14" s="26" t="s">
        <v>187</v>
      </c>
      <c r="T14" s="26" t="s">
        <v>353</v>
      </c>
      <c r="U14" s="26" t="s">
        <v>354</v>
      </c>
      <c r="V14" s="26" t="s">
        <v>355</v>
      </c>
      <c r="W14" s="26">
        <v>0.885</v>
      </c>
      <c r="X14" s="26" t="s">
        <v>338</v>
      </c>
      <c r="Y14" s="26" t="s">
        <v>116</v>
      </c>
      <c r="Z14" s="26" t="s">
        <v>356</v>
      </c>
      <c r="AA14" s="26" t="s">
        <v>357</v>
      </c>
      <c r="AB14" s="26">
        <v>0.805</v>
      </c>
      <c r="AC14" s="26" t="s">
        <v>358</v>
      </c>
      <c r="AD14" s="26" t="s">
        <v>80</v>
      </c>
      <c r="AE14" s="26" t="s">
        <v>194</v>
      </c>
      <c r="AF14" s="27" t="s">
        <v>359</v>
      </c>
      <c r="AG14" s="26">
        <v>0.648</v>
      </c>
      <c r="AH14" s="26" t="s">
        <v>142</v>
      </c>
      <c r="AI14" s="26" t="s">
        <v>360</v>
      </c>
      <c r="AJ14" s="26">
        <v>0.148</v>
      </c>
      <c r="AK14" s="26" t="s">
        <v>361</v>
      </c>
      <c r="AL14" s="26" t="s">
        <v>362</v>
      </c>
      <c r="AM14" s="26">
        <v>0.431</v>
      </c>
      <c r="AN14" s="26" t="s">
        <v>363</v>
      </c>
      <c r="AO14" s="26" t="s">
        <v>364</v>
      </c>
      <c r="AP14" s="26">
        <v>0.279</v>
      </c>
      <c r="AQ14" s="26" t="s">
        <v>82</v>
      </c>
      <c r="AR14" s="26" t="s">
        <v>271</v>
      </c>
      <c r="AS14" s="26">
        <v>0.455</v>
      </c>
      <c r="AT14" s="26" t="s">
        <v>162</v>
      </c>
      <c r="AU14" s="26" t="s">
        <v>85</v>
      </c>
      <c r="AV14" s="165">
        <v>0.374</v>
      </c>
      <c r="AW14" s="26" t="s">
        <v>233</v>
      </c>
      <c r="AX14" s="26" t="s">
        <v>365</v>
      </c>
      <c r="AY14" s="31">
        <v>0.228</v>
      </c>
      <c r="AZ14" s="26" t="s">
        <v>229</v>
      </c>
      <c r="BA14" s="26" t="s">
        <v>199</v>
      </c>
      <c r="BB14" s="29"/>
      <c r="BC14" s="26" t="s">
        <v>366</v>
      </c>
      <c r="BD14" s="26" t="s">
        <v>367</v>
      </c>
      <c r="BE14" s="29"/>
      <c r="BF14" s="26" t="s">
        <v>368</v>
      </c>
      <c r="BG14" s="26" t="s">
        <v>367</v>
      </c>
      <c r="BH14" s="31">
        <v>0.376</v>
      </c>
      <c r="BI14" s="26" t="s">
        <v>369</v>
      </c>
      <c r="BJ14" s="26" t="s">
        <v>351</v>
      </c>
      <c r="BK14" s="31">
        <v>0.2</v>
      </c>
      <c r="BL14" s="31">
        <v>0.705</v>
      </c>
      <c r="BM14" s="31">
        <v>0.755</v>
      </c>
      <c r="BN14" s="29"/>
      <c r="BO14" s="29"/>
      <c r="BP14" s="29"/>
      <c r="BQ14" s="26"/>
      <c r="BR14" s="26"/>
      <c r="BS14" s="27"/>
      <c r="BT14" s="26">
        <v>0.916</v>
      </c>
      <c r="BU14" s="26" t="s">
        <v>162</v>
      </c>
      <c r="BV14" s="26" t="s">
        <v>370</v>
      </c>
      <c r="BW14" s="26" t="s">
        <v>121</v>
      </c>
      <c r="BX14" s="26" t="s">
        <v>371</v>
      </c>
      <c r="BY14" s="26">
        <v>0.956</v>
      </c>
      <c r="BZ14" s="26" t="s">
        <v>154</v>
      </c>
      <c r="CA14" s="26" t="s">
        <v>241</v>
      </c>
      <c r="CB14" s="26" t="s">
        <v>372</v>
      </c>
      <c r="CC14" s="26" t="s">
        <v>373</v>
      </c>
      <c r="CD14" s="26" t="s">
        <v>318</v>
      </c>
      <c r="CE14" s="26" t="s">
        <v>374</v>
      </c>
      <c r="CF14" s="26" t="s">
        <v>375</v>
      </c>
      <c r="CG14" s="26" t="s">
        <v>276</v>
      </c>
      <c r="CH14" s="144">
        <v>1.0</v>
      </c>
      <c r="CI14" s="144">
        <v>0.987</v>
      </c>
      <c r="CJ14" s="144">
        <v>0.996</v>
      </c>
      <c r="CK14" s="144">
        <v>0.911</v>
      </c>
      <c r="CL14" s="144">
        <v>0.701</v>
      </c>
      <c r="CM14" s="144">
        <v>0.689</v>
      </c>
      <c r="CN14" s="144">
        <v>0.72</v>
      </c>
      <c r="CO14" s="144">
        <v>0.353</v>
      </c>
      <c r="CP14" s="144">
        <v>0.108</v>
      </c>
      <c r="CQ14" s="396">
        <v>0.862</v>
      </c>
      <c r="CR14" s="352">
        <v>0.98</v>
      </c>
      <c r="CS14" s="352">
        <v>0.555</v>
      </c>
      <c r="CT14" s="352">
        <v>0.129</v>
      </c>
      <c r="CU14" s="352">
        <v>0.883</v>
      </c>
      <c r="CV14" s="352">
        <v>0.758</v>
      </c>
      <c r="CW14" s="352">
        <v>0.2</v>
      </c>
      <c r="CX14" s="352">
        <v>0.968</v>
      </c>
      <c r="CY14" s="352">
        <v>0.988</v>
      </c>
      <c r="CZ14" s="352">
        <v>0.801</v>
      </c>
      <c r="DA14" s="352">
        <v>0.462</v>
      </c>
      <c r="DB14" s="352">
        <v>0.933</v>
      </c>
      <c r="DC14" s="352">
        <v>0.865</v>
      </c>
      <c r="DD14" s="352">
        <v>0.501</v>
      </c>
      <c r="DE14" s="352">
        <v>0.751</v>
      </c>
      <c r="DF14" s="352">
        <v>0.92</v>
      </c>
      <c r="DG14" s="352">
        <v>0.558</v>
      </c>
      <c r="DH14" s="352">
        <v>0.272</v>
      </c>
      <c r="DI14" s="352">
        <v>0.494</v>
      </c>
      <c r="DJ14" s="352">
        <v>0.286</v>
      </c>
      <c r="DK14" s="352">
        <v>0.204</v>
      </c>
      <c r="DL14" s="4">
        <v>0.984</v>
      </c>
      <c r="DM14" s="4" t="s">
        <v>376</v>
      </c>
      <c r="DN14" s="4" t="s">
        <v>134</v>
      </c>
      <c r="DO14" s="4" t="s">
        <v>201</v>
      </c>
      <c r="DP14" s="238" t="s">
        <v>303</v>
      </c>
      <c r="DQ14" s="352">
        <v>0.36</v>
      </c>
      <c r="DR14" s="352">
        <v>0.734</v>
      </c>
      <c r="DS14" s="352">
        <v>0.881</v>
      </c>
      <c r="DT14" s="352">
        <v>0.452</v>
      </c>
      <c r="DU14" s="352">
        <v>0.251</v>
      </c>
      <c r="DZ14" s="147">
        <f t="shared" ref="DZ14:ED14" si="48">IFERROR(AVERAGE(IFERROR(VALUE(C14),""),IFERROR(VALUE(H14),""),IFERROR(VALUE(M14),""),IFERROR(VALUE(R14),""),IFERROR(VALUE(W14),""),IFERROR(VALUE(AB14),"")),"")</f>
        <v>0.7961666667</v>
      </c>
      <c r="EA14" s="148">
        <f t="shared" si="48"/>
        <v>0.772</v>
      </c>
      <c r="EB14" s="149">
        <f t="shared" si="48"/>
        <v>0.6865</v>
      </c>
      <c r="EC14" s="150">
        <f t="shared" si="48"/>
        <v>0.5233333333</v>
      </c>
      <c r="ED14" s="151">
        <f t="shared" si="48"/>
        <v>0.192</v>
      </c>
      <c r="EE14" s="152">
        <f t="shared" ref="EE14:EG14" si="49">IFERROR(AVERAGE(IFERROR(VALUE(AG14),""),IFERROR(VALUE(AJ14),""),IFERROR(VALUE(AM14),""),IFERROR(VALUE(AP14),""),IFERROR(VALUE(AS14),"")),"")</f>
        <v>0.3922</v>
      </c>
      <c r="EF14" s="83">
        <f t="shared" si="49"/>
        <v>0.6866</v>
      </c>
      <c r="EG14" s="153">
        <f t="shared" si="49"/>
        <v>0.6</v>
      </c>
      <c r="EH14" s="83">
        <v>0.667</v>
      </c>
      <c r="EI14" s="154">
        <v>0.74</v>
      </c>
      <c r="EJ14" s="155">
        <f t="shared" ref="EJ14:EJ18" si="55">IFERROR(AVERAGE(IFERROR(VALUE(BT14),""),IFERROR(VALUE(BY14),""),IFERROR(VALUE(CH14),"")),"")</f>
        <v>0.9573333333</v>
      </c>
      <c r="EK14" s="156">
        <f t="shared" ref="EK14:EK18" si="56">IFERROR(AVERAGE(IFERROR(VALUE(BZ14),""),IFERROR(VALUE(CD14),""),IFERROR(VALUE(CI14),""),IFERROR(VALUE(CM14),"")),"")</f>
        <v>0.79525</v>
      </c>
      <c r="EL14" s="157">
        <f t="shared" ref="EL14:EL18" si="57">IFERROR(AVERAGE(IFERROR(VALUE(CA14),""),IFERROR(VALUE(CE14),""),IFERROR(VALUE(CJ14),""), IFERROR(VALUE(CN14),"")),"")</f>
        <v>0.7925</v>
      </c>
      <c r="EM14" s="158">
        <f t="shared" ref="EM14:EM18" si="58">IFERROR(AVERAGE(IFERROR(VALUE(CB14),""),IFERROR(VALUE(CF14),""),IFERROR(VALUE(CK14),""),IFERROR(VALUE(CO14),"")),"")</f>
        <v>0.54525</v>
      </c>
      <c r="EN14" s="159">
        <f t="shared" ref="EN14:EN18" si="59">IFERROR(AVERAGE(IFERROR(VALUE(CC14),""),IFERROR(VALUE(CG14),""),IFERROR(VALUE(CL14),""), IFERROR(VALUE(CP14),"")),"")</f>
        <v>0.30175</v>
      </c>
      <c r="EO14" s="137">
        <v>0.984</v>
      </c>
      <c r="EP14" s="160">
        <f t="shared" ref="EP14:EQ14" si="50">IFERROR(AVERAGE(IFERROR(VALUE(CQ14),""),IFERROR(VALUE(CX14),""),IFERROR(VALUE(DE14),""),IFERROR(VALUE(DM14),"")),"")</f>
        <v>0.87425</v>
      </c>
      <c r="EQ14" s="161">
        <f t="shared" si="50"/>
        <v>0.9565</v>
      </c>
      <c r="ER14" s="162">
        <f t="shared" ref="ER14:ES14" si="51">IFERROR(AVERAGE(IFERROR(VALUE(CU14),""),IFERROR(VALUE(DB14),""),IFERROR(VALUE(DI14),""),IFERROR(VALUE(DO14),"")),"")</f>
        <v>0.75075</v>
      </c>
      <c r="ES14" s="163">
        <f t="shared" si="51"/>
        <v>0.6295</v>
      </c>
      <c r="ET14" s="138">
        <f t="shared" ref="ET14:EU14" si="52">IFERROR(AVERAGE(IFERROR(VALUE(CS14),""),IFERROR(VALUE(CZ14),""),IFERROR(VALUE(DG14),"")),"")</f>
        <v>0.638</v>
      </c>
      <c r="EU14" s="164">
        <f t="shared" si="52"/>
        <v>0.2876666667</v>
      </c>
      <c r="EV14" s="51">
        <v>0.708</v>
      </c>
      <c r="EW14" s="51"/>
    </row>
    <row r="15">
      <c r="A15" s="166"/>
      <c r="B15" s="167" t="s">
        <v>377</v>
      </c>
      <c r="C15" s="25">
        <v>0.831</v>
      </c>
      <c r="D15" s="26" t="s">
        <v>378</v>
      </c>
      <c r="E15" s="26" t="s">
        <v>379</v>
      </c>
      <c r="F15" s="26" t="s">
        <v>380</v>
      </c>
      <c r="G15" s="26" t="s">
        <v>381</v>
      </c>
      <c r="H15" s="26">
        <v>0.792</v>
      </c>
      <c r="I15" s="26" t="s">
        <v>382</v>
      </c>
      <c r="J15" s="26" t="s">
        <v>383</v>
      </c>
      <c r="K15" s="26" t="s">
        <v>71</v>
      </c>
      <c r="L15" s="26" t="s">
        <v>384</v>
      </c>
      <c r="M15" s="26">
        <v>0.628</v>
      </c>
      <c r="N15" s="26" t="s">
        <v>385</v>
      </c>
      <c r="O15" s="26" t="s">
        <v>386</v>
      </c>
      <c r="P15" s="26" t="s">
        <v>315</v>
      </c>
      <c r="Q15" s="26" t="s">
        <v>210</v>
      </c>
      <c r="R15" s="26">
        <v>0.605</v>
      </c>
      <c r="S15" s="26" t="s">
        <v>137</v>
      </c>
      <c r="T15" s="26" t="s">
        <v>387</v>
      </c>
      <c r="U15" s="26" t="s">
        <v>388</v>
      </c>
      <c r="V15" s="26" t="s">
        <v>389</v>
      </c>
      <c r="W15" s="26">
        <v>0.928</v>
      </c>
      <c r="X15" s="26" t="s">
        <v>390</v>
      </c>
      <c r="Y15" s="26" t="s">
        <v>391</v>
      </c>
      <c r="Z15" s="26" t="s">
        <v>263</v>
      </c>
      <c r="AA15" s="26" t="s">
        <v>392</v>
      </c>
      <c r="AB15" s="26">
        <v>0.823</v>
      </c>
      <c r="AC15" s="26" t="s">
        <v>393</v>
      </c>
      <c r="AD15" s="26" t="s">
        <v>394</v>
      </c>
      <c r="AE15" s="26" t="s">
        <v>143</v>
      </c>
      <c r="AF15" s="27" t="s">
        <v>357</v>
      </c>
      <c r="AG15" s="26">
        <v>0.61</v>
      </c>
      <c r="AH15" s="26" t="s">
        <v>78</v>
      </c>
      <c r="AI15" s="26" t="s">
        <v>395</v>
      </c>
      <c r="AJ15" s="26">
        <v>0.149</v>
      </c>
      <c r="AK15" s="26" t="s">
        <v>396</v>
      </c>
      <c r="AL15" s="26" t="s">
        <v>397</v>
      </c>
      <c r="AM15" s="26">
        <v>0.464</v>
      </c>
      <c r="AN15" s="26" t="s">
        <v>398</v>
      </c>
      <c r="AO15" s="26" t="s">
        <v>399</v>
      </c>
      <c r="AP15" s="26">
        <v>0.252</v>
      </c>
      <c r="AQ15" s="26" t="s">
        <v>400</v>
      </c>
      <c r="AR15" s="26" t="s">
        <v>87</v>
      </c>
      <c r="AS15" s="26">
        <v>0.365</v>
      </c>
      <c r="AT15" s="26" t="s">
        <v>401</v>
      </c>
      <c r="AU15" s="26" t="s">
        <v>402</v>
      </c>
      <c r="AV15" s="28">
        <v>0.236</v>
      </c>
      <c r="AW15" s="29">
        <v>0.686</v>
      </c>
      <c r="AX15" s="29">
        <v>0.987</v>
      </c>
      <c r="AY15" s="29">
        <v>0.132</v>
      </c>
      <c r="AZ15" s="29">
        <v>0.626</v>
      </c>
      <c r="BA15" s="29">
        <v>0.885</v>
      </c>
      <c r="BB15" s="29">
        <v>0.341</v>
      </c>
      <c r="BC15" s="29">
        <v>0.803</v>
      </c>
      <c r="BD15" s="29">
        <v>0.809</v>
      </c>
      <c r="BE15" s="29">
        <v>0.374</v>
      </c>
      <c r="BF15" s="29">
        <v>0.595</v>
      </c>
      <c r="BG15" s="29">
        <v>0.568</v>
      </c>
      <c r="BH15" s="29">
        <v>0.183</v>
      </c>
      <c r="BI15" s="29">
        <v>0.512</v>
      </c>
      <c r="BJ15" s="29">
        <v>0.488</v>
      </c>
      <c r="BK15" s="29">
        <v>0.203</v>
      </c>
      <c r="BL15" s="29">
        <v>0.713</v>
      </c>
      <c r="BM15" s="29">
        <v>0.835</v>
      </c>
      <c r="BN15" s="29">
        <v>0.16</v>
      </c>
      <c r="BO15" s="29">
        <v>0.658</v>
      </c>
      <c r="BP15" s="29">
        <v>0.812</v>
      </c>
      <c r="BQ15" s="26"/>
      <c r="BR15" s="26"/>
      <c r="BS15" s="27"/>
      <c r="BT15" s="26">
        <v>0.912</v>
      </c>
      <c r="BU15" s="26" t="s">
        <v>151</v>
      </c>
      <c r="BV15" s="26" t="s">
        <v>403</v>
      </c>
      <c r="BW15" s="26" t="s">
        <v>404</v>
      </c>
      <c r="BX15" s="26" t="s">
        <v>405</v>
      </c>
      <c r="BY15" s="26">
        <v>0.918</v>
      </c>
      <c r="BZ15" s="26" t="s">
        <v>195</v>
      </c>
      <c r="CA15" s="26" t="s">
        <v>406</v>
      </c>
      <c r="CB15" s="26" t="s">
        <v>407</v>
      </c>
      <c r="CC15" s="26" t="s">
        <v>408</v>
      </c>
      <c r="CD15" s="26" t="s">
        <v>409</v>
      </c>
      <c r="CE15" s="26" t="s">
        <v>410</v>
      </c>
      <c r="CF15" s="26" t="s">
        <v>169</v>
      </c>
      <c r="CG15" s="26" t="s">
        <v>411</v>
      </c>
      <c r="CH15" s="4">
        <v>0.9959100204</v>
      </c>
      <c r="CI15" s="4">
        <v>0.9592156915</v>
      </c>
      <c r="CJ15" s="4">
        <v>0.9961656442</v>
      </c>
      <c r="CK15" s="4">
        <v>0.8963838071</v>
      </c>
      <c r="CL15" s="4">
        <v>0.6951252874</v>
      </c>
      <c r="CM15" s="144">
        <v>0.561</v>
      </c>
      <c r="CN15" s="144">
        <v>0.489</v>
      </c>
      <c r="CO15" s="144">
        <v>0.206</v>
      </c>
      <c r="CP15" s="144">
        <v>0.032</v>
      </c>
      <c r="CQ15" s="145">
        <v>0.785</v>
      </c>
      <c r="CR15" s="4">
        <v>0.89</v>
      </c>
      <c r="CS15" s="4">
        <v>0.5</v>
      </c>
      <c r="CT15" s="4">
        <v>0.09</v>
      </c>
      <c r="CU15" s="4">
        <v>0.673</v>
      </c>
      <c r="CV15" s="4">
        <v>0.449</v>
      </c>
      <c r="CW15" s="4">
        <v>0.21</v>
      </c>
      <c r="CX15" s="4">
        <v>0.953</v>
      </c>
      <c r="CY15" s="4">
        <v>0.98</v>
      </c>
      <c r="CZ15" s="4">
        <v>0.847</v>
      </c>
      <c r="DA15" s="4">
        <v>0.572</v>
      </c>
      <c r="DB15" s="4">
        <v>0.892</v>
      </c>
      <c r="DC15" s="4">
        <v>0.792</v>
      </c>
      <c r="DD15" s="4">
        <v>0.649</v>
      </c>
      <c r="DE15" s="4">
        <v>0.695</v>
      </c>
      <c r="DF15" s="4">
        <v>0.834</v>
      </c>
      <c r="DG15" s="4">
        <v>0.57</v>
      </c>
      <c r="DH15" s="4">
        <v>0.275</v>
      </c>
      <c r="DI15" s="4">
        <v>0.322</v>
      </c>
      <c r="DJ15" s="4">
        <v>0.146</v>
      </c>
      <c r="DK15" s="4">
        <v>0.288</v>
      </c>
      <c r="DL15" s="4">
        <v>0.973</v>
      </c>
      <c r="DM15" s="4" t="s">
        <v>237</v>
      </c>
      <c r="DN15" s="4" t="s">
        <v>215</v>
      </c>
      <c r="DO15" s="4" t="s">
        <v>135</v>
      </c>
      <c r="DP15" s="238" t="s">
        <v>412</v>
      </c>
      <c r="DQ15" s="352">
        <v>0.465</v>
      </c>
      <c r="DR15" s="352">
        <v>0.715</v>
      </c>
      <c r="DS15" s="352">
        <v>0.785</v>
      </c>
      <c r="DT15" s="352">
        <v>0.389</v>
      </c>
      <c r="DU15" s="352">
        <v>0.203</v>
      </c>
      <c r="DZ15" s="168">
        <f t="shared" ref="DZ15:ED15" si="53">IFERROR(AVERAGE(IFERROR(VALUE(C15),""),IFERROR(VALUE(H15),""),IFERROR(VALUE(M15),""),IFERROR(VALUE(R15),""),IFERROR(VALUE(W15),""),IFERROR(VALUE(AB15),"")),"")</f>
        <v>0.7678333333</v>
      </c>
      <c r="EA15" s="169">
        <f t="shared" si="53"/>
        <v>0.7585</v>
      </c>
      <c r="EB15" s="170">
        <f t="shared" si="53"/>
        <v>0.644</v>
      </c>
      <c r="EC15" s="83">
        <f t="shared" si="53"/>
        <v>0.4775</v>
      </c>
      <c r="ED15" s="171">
        <f t="shared" si="53"/>
        <v>0.1791666667</v>
      </c>
      <c r="EE15" s="172">
        <f t="shared" ref="EE15:EG15" si="54">IFERROR(AVERAGE(IFERROR(VALUE(AG15),""),IFERROR(VALUE(AJ15),""),IFERROR(VALUE(AM15),""),IFERROR(VALUE(AP15),""),IFERROR(VALUE(AS15),"")),"")</f>
        <v>0.368</v>
      </c>
      <c r="EF15" s="41">
        <f t="shared" si="54"/>
        <v>0.674</v>
      </c>
      <c r="EG15" s="173">
        <f t="shared" si="54"/>
        <v>0.6018</v>
      </c>
      <c r="EH15" s="42">
        <v>0.644</v>
      </c>
      <c r="EI15" s="151">
        <v>0.747</v>
      </c>
      <c r="EJ15" s="174">
        <f t="shared" si="55"/>
        <v>0.9419700068</v>
      </c>
      <c r="EK15" s="41">
        <f t="shared" si="56"/>
        <v>0.7578039229</v>
      </c>
      <c r="EL15" s="83">
        <f t="shared" si="57"/>
        <v>0.7555414111</v>
      </c>
      <c r="EM15" s="83">
        <f t="shared" si="58"/>
        <v>0.4928459518</v>
      </c>
      <c r="EN15" s="175">
        <f t="shared" si="59"/>
        <v>0.2882813219</v>
      </c>
      <c r="EO15" s="176">
        <v>0.973</v>
      </c>
      <c r="EP15" s="177">
        <f t="shared" ref="EP15:EQ15" si="60">IFERROR(AVERAGE(IFERROR(VALUE(CQ15),""),IFERROR(VALUE(CX15),""),IFERROR(VALUE(DE15),""),IFERROR(VALUE(DM15),"")),"")</f>
        <v>0.83425</v>
      </c>
      <c r="EQ15" s="34">
        <f t="shared" si="60"/>
        <v>0.91325</v>
      </c>
      <c r="ER15" s="178">
        <f t="shared" ref="ER15:ES15" si="61">IFERROR(AVERAGE(IFERROR(VALUE(CU15),""),IFERROR(VALUE(DB15),""),IFERROR(VALUE(DI15),""),IFERROR(VALUE(DO15),"")),"")</f>
        <v>0.65175</v>
      </c>
      <c r="ES15" s="48">
        <f t="shared" si="61"/>
        <v>0.5125</v>
      </c>
      <c r="ET15" s="179">
        <f t="shared" ref="ET15:EU15" si="62">IFERROR(AVERAGE(IFERROR(VALUE(CS15),""),IFERROR(VALUE(CZ15),""),IFERROR(VALUE(DG15),"")),"")</f>
        <v>0.639</v>
      </c>
      <c r="EU15" s="79">
        <f t="shared" si="62"/>
        <v>0.3123333333</v>
      </c>
      <c r="EV15" s="51">
        <v>0.703</v>
      </c>
      <c r="EW15" s="51"/>
    </row>
    <row r="16">
      <c r="A16" s="180" t="s">
        <v>413</v>
      </c>
      <c r="B16" s="24" t="s">
        <v>414</v>
      </c>
      <c r="C16" s="181">
        <v>0.708</v>
      </c>
      <c r="D16" s="182" t="s">
        <v>415</v>
      </c>
      <c r="E16" s="182" t="s">
        <v>416</v>
      </c>
      <c r="F16" s="182" t="s">
        <v>417</v>
      </c>
      <c r="G16" s="182" t="s">
        <v>152</v>
      </c>
      <c r="H16" s="182">
        <v>0.235</v>
      </c>
      <c r="I16" s="182" t="s">
        <v>194</v>
      </c>
      <c r="J16" s="182" t="s">
        <v>418</v>
      </c>
      <c r="K16" s="182" t="s">
        <v>419</v>
      </c>
      <c r="L16" s="182" t="s">
        <v>420</v>
      </c>
      <c r="M16" s="182">
        <v>0.732</v>
      </c>
      <c r="N16" s="182" t="s">
        <v>128</v>
      </c>
      <c r="O16" s="182" t="s">
        <v>421</v>
      </c>
      <c r="P16" s="182" t="s">
        <v>422</v>
      </c>
      <c r="Q16" s="182" t="s">
        <v>423</v>
      </c>
      <c r="R16" s="182">
        <v>0.566</v>
      </c>
      <c r="S16" s="182" t="s">
        <v>198</v>
      </c>
      <c r="T16" s="182" t="s">
        <v>424</v>
      </c>
      <c r="U16" s="182" t="s">
        <v>425</v>
      </c>
      <c r="V16" s="182" t="s">
        <v>426</v>
      </c>
      <c r="W16" s="182">
        <v>0.799</v>
      </c>
      <c r="X16" s="182" t="s">
        <v>94</v>
      </c>
      <c r="Y16" s="182" t="s">
        <v>427</v>
      </c>
      <c r="Z16" s="182" t="s">
        <v>428</v>
      </c>
      <c r="AA16" s="182" t="s">
        <v>429</v>
      </c>
      <c r="AB16" s="182">
        <v>0.868</v>
      </c>
      <c r="AC16" s="182" t="s">
        <v>430</v>
      </c>
      <c r="AD16" s="182" t="s">
        <v>431</v>
      </c>
      <c r="AE16" s="182" t="s">
        <v>307</v>
      </c>
      <c r="AF16" s="183" t="s">
        <v>432</v>
      </c>
      <c r="AG16" s="182">
        <v>0.343</v>
      </c>
      <c r="AH16" s="182" t="s">
        <v>137</v>
      </c>
      <c r="AI16" s="182" t="s">
        <v>214</v>
      </c>
      <c r="AJ16" s="182">
        <v>0.06</v>
      </c>
      <c r="AK16" s="182" t="s">
        <v>119</v>
      </c>
      <c r="AL16" s="182" t="s">
        <v>433</v>
      </c>
      <c r="AM16" s="182">
        <v>0.398</v>
      </c>
      <c r="AN16" s="182" t="s">
        <v>434</v>
      </c>
      <c r="AO16" s="182" t="s">
        <v>435</v>
      </c>
      <c r="AP16" s="182">
        <v>0.145</v>
      </c>
      <c r="AQ16" s="182" t="s">
        <v>436</v>
      </c>
      <c r="AR16" s="182" t="s">
        <v>311</v>
      </c>
      <c r="AS16" s="182">
        <v>0.285</v>
      </c>
      <c r="AT16" s="182" t="s">
        <v>323</v>
      </c>
      <c r="AU16" s="182" t="s">
        <v>437</v>
      </c>
      <c r="AV16" s="184">
        <v>0.115</v>
      </c>
      <c r="AW16" s="182" t="s">
        <v>402</v>
      </c>
      <c r="AX16" s="182" t="s">
        <v>302</v>
      </c>
      <c r="AY16" s="185">
        <v>0.045</v>
      </c>
      <c r="AZ16" s="182" t="s">
        <v>438</v>
      </c>
      <c r="BA16" s="182" t="s">
        <v>439</v>
      </c>
      <c r="BB16" s="185">
        <v>0.054</v>
      </c>
      <c r="BC16" s="182" t="s">
        <v>440</v>
      </c>
      <c r="BD16" s="182" t="s">
        <v>193</v>
      </c>
      <c r="BE16" s="185">
        <v>0.181</v>
      </c>
      <c r="BF16" s="182" t="s">
        <v>289</v>
      </c>
      <c r="BG16" s="182" t="s">
        <v>356</v>
      </c>
      <c r="BH16" s="185">
        <v>0.087</v>
      </c>
      <c r="BI16" s="182" t="s">
        <v>303</v>
      </c>
      <c r="BJ16" s="182" t="s">
        <v>164</v>
      </c>
      <c r="BK16" s="185">
        <v>0.115</v>
      </c>
      <c r="BL16" s="185">
        <v>0.701</v>
      </c>
      <c r="BM16" s="185">
        <v>0.736</v>
      </c>
      <c r="BN16" s="185">
        <v>0.087</v>
      </c>
      <c r="BO16" s="185">
        <v>0.725</v>
      </c>
      <c r="BP16" s="185">
        <v>0.721</v>
      </c>
      <c r="BQ16" s="182"/>
      <c r="BR16" s="182"/>
      <c r="BS16" s="183"/>
      <c r="BT16" s="182">
        <v>0.892</v>
      </c>
      <c r="BU16" s="182" t="s">
        <v>441</v>
      </c>
      <c r="BV16" s="182" t="s">
        <v>244</v>
      </c>
      <c r="BW16" s="182" t="s">
        <v>138</v>
      </c>
      <c r="BX16" s="182" t="s">
        <v>442</v>
      </c>
      <c r="BY16" s="182">
        <v>0.909</v>
      </c>
      <c r="BZ16" s="182" t="s">
        <v>443</v>
      </c>
      <c r="CA16" s="182" t="s">
        <v>444</v>
      </c>
      <c r="CB16" s="182" t="s">
        <v>445</v>
      </c>
      <c r="CC16" s="182" t="s">
        <v>57</v>
      </c>
      <c r="CD16" s="182" t="s">
        <v>238</v>
      </c>
      <c r="CE16" s="182" t="s">
        <v>446</v>
      </c>
      <c r="CF16" s="182" t="s">
        <v>447</v>
      </c>
      <c r="CG16" s="182" t="s">
        <v>448</v>
      </c>
      <c r="CH16" s="397">
        <v>0.9877300613</v>
      </c>
      <c r="CI16" s="397">
        <v>0.9664810554</v>
      </c>
      <c r="CJ16" s="397">
        <v>0.9746932515</v>
      </c>
      <c r="CK16" s="397">
        <v>0.8629190686</v>
      </c>
      <c r="CL16" s="397">
        <v>0.6243669771</v>
      </c>
      <c r="CM16" s="398">
        <v>0.611</v>
      </c>
      <c r="CN16" s="398">
        <v>0.535</v>
      </c>
      <c r="CO16" s="398">
        <v>0.27</v>
      </c>
      <c r="CP16" s="398">
        <v>0.074</v>
      </c>
      <c r="CQ16" s="399">
        <v>0.758</v>
      </c>
      <c r="CR16" s="397">
        <v>0.755</v>
      </c>
      <c r="CS16" s="397">
        <v>0.506</v>
      </c>
      <c r="CT16" s="397">
        <v>0.117</v>
      </c>
      <c r="CU16" s="397">
        <v>0.485</v>
      </c>
      <c r="CV16" s="397">
        <v>0.327</v>
      </c>
      <c r="CW16" s="397">
        <v>0.225</v>
      </c>
      <c r="CX16" s="397">
        <v>0.821</v>
      </c>
      <c r="CY16" s="397">
        <v>0.808</v>
      </c>
      <c r="CZ16" s="397">
        <v>0.627</v>
      </c>
      <c r="DA16" s="397">
        <v>0.226</v>
      </c>
      <c r="DB16" s="397">
        <v>0.584</v>
      </c>
      <c r="DC16" s="397">
        <v>0.362</v>
      </c>
      <c r="DD16" s="397">
        <v>0.29</v>
      </c>
      <c r="DE16" s="397">
        <v>0.651</v>
      </c>
      <c r="DF16" s="397">
        <v>0.661</v>
      </c>
      <c r="DG16" s="397">
        <v>0.492</v>
      </c>
      <c r="DH16" s="397">
        <v>0.1</v>
      </c>
      <c r="DI16" s="397">
        <v>0.272</v>
      </c>
      <c r="DJ16" s="397">
        <v>0.133</v>
      </c>
      <c r="DK16" s="397">
        <v>0.109</v>
      </c>
      <c r="DL16" s="397">
        <v>0.966</v>
      </c>
      <c r="DM16" s="397" t="s">
        <v>449</v>
      </c>
      <c r="DN16" s="397" t="s">
        <v>450</v>
      </c>
      <c r="DO16" s="397" t="s">
        <v>437</v>
      </c>
      <c r="DP16" s="400" t="s">
        <v>133</v>
      </c>
      <c r="DQ16" s="401">
        <v>0.218</v>
      </c>
      <c r="DR16" s="401">
        <v>0.646</v>
      </c>
      <c r="DS16" s="401">
        <v>0.584</v>
      </c>
      <c r="DT16" s="401">
        <v>0.223</v>
      </c>
      <c r="DU16" s="401">
        <v>0.09</v>
      </c>
      <c r="DV16" s="188"/>
      <c r="DW16" s="188"/>
      <c r="DX16" s="188"/>
      <c r="DY16" s="188"/>
      <c r="DZ16" s="189">
        <f t="shared" ref="DZ16:ED16" si="63">IFERROR(AVERAGE(IFERROR(VALUE(C16),""),IFERROR(VALUE(H16),""),IFERROR(VALUE(M16),""),IFERROR(VALUE(R16),""),IFERROR(VALUE(W16),""),IFERROR(VALUE(AB16),"")),"")</f>
        <v>0.6513333333</v>
      </c>
      <c r="EA16" s="190">
        <f t="shared" si="63"/>
        <v>0.7206666667</v>
      </c>
      <c r="EB16" s="191">
        <f t="shared" si="63"/>
        <v>0.517</v>
      </c>
      <c r="EC16" s="192">
        <f t="shared" si="63"/>
        <v>0.4856666667</v>
      </c>
      <c r="ED16" s="193">
        <f t="shared" si="63"/>
        <v>0.268</v>
      </c>
      <c r="EE16" s="194">
        <f t="shared" ref="EE16:EG16" si="64">IFERROR(AVERAGE(IFERROR(VALUE(AG16),""),IFERROR(VALUE(AJ16),""),IFERROR(VALUE(AM16),""),IFERROR(VALUE(AP16),""),IFERROR(VALUE(AS16),"")),"")</f>
        <v>0.2462</v>
      </c>
      <c r="EF16" s="195">
        <f t="shared" si="64"/>
        <v>0.6698</v>
      </c>
      <c r="EG16" s="196">
        <f t="shared" si="64"/>
        <v>0.5176</v>
      </c>
      <c r="EH16" s="195">
        <v>0.655</v>
      </c>
      <c r="EI16" s="197">
        <v>0.687</v>
      </c>
      <c r="EJ16" s="198">
        <f t="shared" si="55"/>
        <v>0.9295766871</v>
      </c>
      <c r="EK16" s="195">
        <f t="shared" si="56"/>
        <v>0.7596202639</v>
      </c>
      <c r="EL16" s="199">
        <f t="shared" si="57"/>
        <v>0.7016733129</v>
      </c>
      <c r="EM16" s="195">
        <f t="shared" si="58"/>
        <v>0.4812297672</v>
      </c>
      <c r="EN16" s="200">
        <f t="shared" si="59"/>
        <v>0.2688417443</v>
      </c>
      <c r="EO16" s="201">
        <v>0.966</v>
      </c>
      <c r="EP16" s="190">
        <f t="shared" ref="EP16:EQ16" si="65">IFERROR(AVERAGE(IFERROR(VALUE(CQ16),""),IFERROR(VALUE(CX16),""),IFERROR(VALUE(DE16),""),IFERROR(VALUE(DM16),"")),"")</f>
        <v>0.76325</v>
      </c>
      <c r="EQ16" s="202">
        <f t="shared" si="65"/>
        <v>0.79025</v>
      </c>
      <c r="ER16" s="203">
        <f t="shared" ref="ER16:ES16" si="66">IFERROR(AVERAGE(IFERROR(VALUE(CU16),""),IFERROR(VALUE(DB16),""),IFERROR(VALUE(DI16),""),IFERROR(VALUE(DO16),"")),"")</f>
        <v>0.48075</v>
      </c>
      <c r="ES16" s="204">
        <f t="shared" si="66"/>
        <v>0.32575</v>
      </c>
      <c r="ET16" s="205">
        <f t="shared" ref="ET16:EU16" si="67">IFERROR(AVERAGE(IFERROR(VALUE(CS16),""),IFERROR(VALUE(CZ16),""),IFERROR(VALUE(DG16),"")),"")</f>
        <v>0.5416666667</v>
      </c>
      <c r="EU16" s="206">
        <f t="shared" si="67"/>
        <v>0.1476666667</v>
      </c>
      <c r="EV16" s="207">
        <v>0.61</v>
      </c>
      <c r="EW16" s="207">
        <v>0.098</v>
      </c>
    </row>
    <row r="17">
      <c r="A17" s="52"/>
      <c r="B17" s="142" t="s">
        <v>451</v>
      </c>
      <c r="C17" s="25">
        <v>0.906</v>
      </c>
      <c r="D17" s="26" t="s">
        <v>251</v>
      </c>
      <c r="E17" s="26" t="s">
        <v>232</v>
      </c>
      <c r="F17" s="26" t="s">
        <v>452</v>
      </c>
      <c r="G17" s="26" t="s">
        <v>453</v>
      </c>
      <c r="H17" s="26">
        <v>0.78</v>
      </c>
      <c r="I17" s="26" t="s">
        <v>454</v>
      </c>
      <c r="J17" s="26" t="s">
        <v>167</v>
      </c>
      <c r="K17" s="26" t="s">
        <v>455</v>
      </c>
      <c r="L17" s="26" t="s">
        <v>456</v>
      </c>
      <c r="M17" s="26">
        <v>0.752</v>
      </c>
      <c r="N17" s="26" t="s">
        <v>201</v>
      </c>
      <c r="O17" s="26" t="s">
        <v>367</v>
      </c>
      <c r="P17" s="26" t="s">
        <v>457</v>
      </c>
      <c r="Q17" s="26" t="s">
        <v>388</v>
      </c>
      <c r="R17" s="26">
        <v>0.633</v>
      </c>
      <c r="S17" s="26" t="s">
        <v>259</v>
      </c>
      <c r="T17" s="26" t="s">
        <v>458</v>
      </c>
      <c r="U17" s="26" t="s">
        <v>459</v>
      </c>
      <c r="V17" s="26" t="s">
        <v>460</v>
      </c>
      <c r="W17" s="26">
        <v>0.921</v>
      </c>
      <c r="X17" s="26" t="s">
        <v>283</v>
      </c>
      <c r="Y17" s="26" t="s">
        <v>132</v>
      </c>
      <c r="Z17" s="26" t="s">
        <v>375</v>
      </c>
      <c r="AA17" s="26" t="s">
        <v>442</v>
      </c>
      <c r="AB17" s="26">
        <v>0.723</v>
      </c>
      <c r="AC17" s="26" t="s">
        <v>251</v>
      </c>
      <c r="AD17" s="26" t="s">
        <v>87</v>
      </c>
      <c r="AE17" s="26" t="s">
        <v>62</v>
      </c>
      <c r="AF17" s="27" t="s">
        <v>178</v>
      </c>
      <c r="AG17" s="26">
        <v>0.501</v>
      </c>
      <c r="AH17" s="26" t="s">
        <v>443</v>
      </c>
      <c r="AI17" s="26" t="s">
        <v>461</v>
      </c>
      <c r="AJ17" s="26">
        <v>0.12</v>
      </c>
      <c r="AK17" s="26" t="s">
        <v>244</v>
      </c>
      <c r="AL17" s="26" t="s">
        <v>217</v>
      </c>
      <c r="AM17" s="26">
        <v>0.486</v>
      </c>
      <c r="AN17" s="26" t="s">
        <v>265</v>
      </c>
      <c r="AO17" s="26" t="s">
        <v>462</v>
      </c>
      <c r="AP17" s="26">
        <v>0.258</v>
      </c>
      <c r="AQ17" s="26" t="s">
        <v>78</v>
      </c>
      <c r="AR17" s="26" t="s">
        <v>139</v>
      </c>
      <c r="AS17" s="26">
        <v>0.459</v>
      </c>
      <c r="AT17" s="26" t="s">
        <v>241</v>
      </c>
      <c r="AU17" s="26" t="s">
        <v>463</v>
      </c>
      <c r="AV17" s="28">
        <v>0.283</v>
      </c>
      <c r="AW17" s="26" t="s">
        <v>464</v>
      </c>
      <c r="AX17" s="26" t="s">
        <v>465</v>
      </c>
      <c r="AY17" s="29">
        <v>0.128</v>
      </c>
      <c r="AZ17" s="26" t="s">
        <v>198</v>
      </c>
      <c r="BA17" s="26" t="s">
        <v>466</v>
      </c>
      <c r="BB17" s="29">
        <v>0.263</v>
      </c>
      <c r="BC17" s="26" t="s">
        <v>246</v>
      </c>
      <c r="BD17" s="26" t="s">
        <v>452</v>
      </c>
      <c r="BE17" s="29">
        <v>0.454</v>
      </c>
      <c r="BF17" s="26" t="s">
        <v>464</v>
      </c>
      <c r="BG17" s="26" t="s">
        <v>167</v>
      </c>
      <c r="BH17" s="29">
        <v>0.383</v>
      </c>
      <c r="BI17" s="26" t="s">
        <v>467</v>
      </c>
      <c r="BJ17" s="26" t="s">
        <v>468</v>
      </c>
      <c r="BK17" s="29">
        <v>0.231</v>
      </c>
      <c r="BL17" s="29">
        <v>0.759</v>
      </c>
      <c r="BM17" s="29">
        <v>0.843</v>
      </c>
      <c r="BN17" s="29">
        <v>0.212</v>
      </c>
      <c r="BO17" s="30">
        <v>0.738</v>
      </c>
      <c r="BP17" s="30">
        <v>0.837</v>
      </c>
      <c r="BQ17" s="26"/>
      <c r="BR17" s="72"/>
      <c r="BS17" s="146"/>
      <c r="BT17" s="26">
        <v>0.914</v>
      </c>
      <c r="BU17" s="26" t="s">
        <v>469</v>
      </c>
      <c r="BV17" s="26" t="s">
        <v>331</v>
      </c>
      <c r="BW17" s="26" t="s">
        <v>164</v>
      </c>
      <c r="BX17" s="26" t="s">
        <v>470</v>
      </c>
      <c r="BY17" s="26">
        <v>0.94</v>
      </c>
      <c r="BZ17" s="26" t="s">
        <v>464</v>
      </c>
      <c r="CA17" s="26" t="s">
        <v>91</v>
      </c>
      <c r="CB17" s="26" t="s">
        <v>72</v>
      </c>
      <c r="CC17" s="26" t="s">
        <v>68</v>
      </c>
      <c r="CD17" s="26" t="s">
        <v>471</v>
      </c>
      <c r="CE17" s="26" t="s">
        <v>82</v>
      </c>
      <c r="CF17" s="26" t="s">
        <v>332</v>
      </c>
      <c r="CG17" s="26" t="s">
        <v>472</v>
      </c>
      <c r="CH17" s="4">
        <v>0.9913087935</v>
      </c>
      <c r="CI17" s="4">
        <v>0.9637194789</v>
      </c>
      <c r="CJ17" s="4">
        <v>0.98900818</v>
      </c>
      <c r="CK17" s="4">
        <v>0.903314342</v>
      </c>
      <c r="CL17" s="4">
        <v>0.6834013812</v>
      </c>
      <c r="CM17" s="144">
        <v>0.717</v>
      </c>
      <c r="CN17" s="144">
        <v>0.726</v>
      </c>
      <c r="CO17" s="144">
        <v>0.443</v>
      </c>
      <c r="CP17" s="144">
        <v>0.183</v>
      </c>
      <c r="CQ17" s="145">
        <v>0.784</v>
      </c>
      <c r="CR17" s="4">
        <v>0.93</v>
      </c>
      <c r="CS17" s="4">
        <v>0.532</v>
      </c>
      <c r="CT17" s="4">
        <v>0.199</v>
      </c>
      <c r="CU17" s="4">
        <v>0.606</v>
      </c>
      <c r="CV17" s="4">
        <v>0.381</v>
      </c>
      <c r="CW17" s="4">
        <v>0.14</v>
      </c>
      <c r="CX17" s="4">
        <v>0.935</v>
      </c>
      <c r="CY17" s="4">
        <v>0.978</v>
      </c>
      <c r="CZ17" s="4">
        <v>0.73</v>
      </c>
      <c r="DA17" s="4">
        <v>0.325</v>
      </c>
      <c r="DB17" s="4">
        <v>0.894</v>
      </c>
      <c r="DC17" s="4">
        <v>0.797</v>
      </c>
      <c r="DD17" s="4">
        <v>0.346</v>
      </c>
      <c r="DE17" s="4">
        <v>0.634</v>
      </c>
      <c r="DF17" s="4">
        <v>0.824</v>
      </c>
      <c r="DG17" s="4">
        <v>0.557</v>
      </c>
      <c r="DH17" s="4">
        <v>0.334</v>
      </c>
      <c r="DI17" s="4">
        <v>0.291</v>
      </c>
      <c r="DJ17" s="4">
        <v>0.112</v>
      </c>
      <c r="DK17" s="4">
        <v>0.361</v>
      </c>
      <c r="DL17" s="4">
        <v>0.982</v>
      </c>
      <c r="DM17" s="4" t="s">
        <v>454</v>
      </c>
      <c r="DN17" s="4" t="s">
        <v>473</v>
      </c>
      <c r="DO17" s="4" t="s">
        <v>474</v>
      </c>
      <c r="DP17" s="238" t="s">
        <v>262</v>
      </c>
      <c r="DQ17" s="352">
        <v>0.535</v>
      </c>
      <c r="DR17" s="352">
        <v>0.661</v>
      </c>
      <c r="DS17" s="352">
        <v>0.848</v>
      </c>
      <c r="DT17" s="352">
        <v>0.304</v>
      </c>
      <c r="DU17" s="352">
        <v>0.128</v>
      </c>
      <c r="DZ17" s="208">
        <f t="shared" ref="DZ17:ED17" si="68">IFERROR(AVERAGE(IFERROR(VALUE(C17),""),IFERROR(VALUE(H17),""),IFERROR(VALUE(M17),""),IFERROR(VALUE(R17),""),IFERROR(VALUE(W17),""),IFERROR(VALUE(AB17),"")),"")</f>
        <v>0.7858333333</v>
      </c>
      <c r="EA17" s="70">
        <f t="shared" si="68"/>
        <v>0.7993333333</v>
      </c>
      <c r="EB17" s="209">
        <f t="shared" si="68"/>
        <v>0.7183333333</v>
      </c>
      <c r="EC17" s="134">
        <f t="shared" si="68"/>
        <v>0.5633333333</v>
      </c>
      <c r="ED17" s="210">
        <f t="shared" si="68"/>
        <v>0.2831666667</v>
      </c>
      <c r="EE17" s="211">
        <f t="shared" ref="EE17:EG17" si="69">IFERROR(AVERAGE(IFERROR(VALUE(AG17),""),IFERROR(VALUE(AJ17),""),IFERROR(VALUE(AM17),""),IFERROR(VALUE(AP17),""),IFERROR(VALUE(AS17),"")),"")</f>
        <v>0.3648</v>
      </c>
      <c r="EF17" s="212">
        <f t="shared" si="69"/>
        <v>0.6952</v>
      </c>
      <c r="EG17" s="39">
        <f t="shared" si="69"/>
        <v>0.6196</v>
      </c>
      <c r="EH17" s="177">
        <v>0.704</v>
      </c>
      <c r="EI17" s="213">
        <v>0.829</v>
      </c>
      <c r="EJ17" s="214">
        <f t="shared" si="55"/>
        <v>0.9484362645</v>
      </c>
      <c r="EK17" s="215">
        <f t="shared" si="56"/>
        <v>0.8064298697</v>
      </c>
      <c r="EL17" s="216">
        <f t="shared" si="57"/>
        <v>0.791002045</v>
      </c>
      <c r="EM17" s="217">
        <f t="shared" si="58"/>
        <v>0.5675785855</v>
      </c>
      <c r="EN17" s="218">
        <f t="shared" si="59"/>
        <v>0.3271003453</v>
      </c>
      <c r="EO17" s="219">
        <v>0.982</v>
      </c>
      <c r="EP17" s="220">
        <f t="shared" ref="EP17:EQ17" si="70">IFERROR(AVERAGE(IFERROR(VALUE(CQ17),""),IFERROR(VALUE(CX17),""),IFERROR(VALUE(DE17),""),IFERROR(VALUE(DM17),"")),"")</f>
        <v>0.81625</v>
      </c>
      <c r="EQ17" s="221">
        <f t="shared" si="70"/>
        <v>0.921</v>
      </c>
      <c r="ER17" s="222">
        <f t="shared" ref="ER17:ES17" si="71">IFERROR(AVERAGE(IFERROR(VALUE(CU17),""),IFERROR(VALUE(DB17),""),IFERROR(VALUE(DI17),""),IFERROR(VALUE(DO17),"")),"")</f>
        <v>0.628</v>
      </c>
      <c r="ES17" s="150">
        <f t="shared" si="71"/>
        <v>0.48925</v>
      </c>
      <c r="ET17" s="223">
        <f t="shared" ref="ET17:EU17" si="72">IFERROR(AVERAGE(IFERROR(VALUE(CS17),""),IFERROR(VALUE(CZ17),""),IFERROR(VALUE(DG17),"")),"")</f>
        <v>0.6063333333</v>
      </c>
      <c r="EU17" s="164">
        <f t="shared" si="72"/>
        <v>0.286</v>
      </c>
      <c r="EV17" s="51">
        <v>0.683</v>
      </c>
      <c r="EW17" s="51">
        <v>0.279</v>
      </c>
    </row>
    <row r="18">
      <c r="B18" s="224" t="s">
        <v>475</v>
      </c>
      <c r="C18" s="26">
        <v>0.9</v>
      </c>
      <c r="D18" s="26" t="s">
        <v>190</v>
      </c>
      <c r="E18" s="26" t="s">
        <v>476</v>
      </c>
      <c r="F18" s="26" t="s">
        <v>186</v>
      </c>
      <c r="G18" s="26" t="s">
        <v>477</v>
      </c>
      <c r="H18" s="26">
        <v>0.772</v>
      </c>
      <c r="I18" s="26" t="s">
        <v>478</v>
      </c>
      <c r="J18" s="26" t="s">
        <v>479</v>
      </c>
      <c r="K18" s="26" t="s">
        <v>366</v>
      </c>
      <c r="L18" s="26" t="s">
        <v>252</v>
      </c>
      <c r="M18" s="26">
        <v>0.75</v>
      </c>
      <c r="N18" s="26" t="s">
        <v>58</v>
      </c>
      <c r="O18" s="26" t="s">
        <v>194</v>
      </c>
      <c r="P18" s="26" t="s">
        <v>294</v>
      </c>
      <c r="Q18" s="26" t="s">
        <v>442</v>
      </c>
      <c r="R18" s="26">
        <v>0.649</v>
      </c>
      <c r="S18" s="26" t="s">
        <v>410</v>
      </c>
      <c r="T18" s="26" t="s">
        <v>299</v>
      </c>
      <c r="U18" s="26" t="s">
        <v>207</v>
      </c>
      <c r="V18" s="26" t="s">
        <v>480</v>
      </c>
      <c r="W18" s="26">
        <v>0.899</v>
      </c>
      <c r="X18" s="26" t="s">
        <v>452</v>
      </c>
      <c r="Y18" s="26" t="s">
        <v>115</v>
      </c>
      <c r="Z18" s="26" t="s">
        <v>481</v>
      </c>
      <c r="AA18" s="26" t="s">
        <v>482</v>
      </c>
      <c r="AB18" s="26">
        <v>0.83</v>
      </c>
      <c r="AC18" s="26" t="s">
        <v>461</v>
      </c>
      <c r="AD18" s="26" t="s">
        <v>378</v>
      </c>
      <c r="AE18" s="26" t="s">
        <v>483</v>
      </c>
      <c r="AF18" s="26" t="s">
        <v>272</v>
      </c>
      <c r="AG18" s="26">
        <v>0.528</v>
      </c>
      <c r="AH18" s="26" t="s">
        <v>484</v>
      </c>
      <c r="AI18" s="26" t="s">
        <v>485</v>
      </c>
      <c r="AJ18" s="26">
        <v>0.129</v>
      </c>
      <c r="AK18" s="26" t="s">
        <v>236</v>
      </c>
      <c r="AL18" s="26" t="s">
        <v>486</v>
      </c>
      <c r="AM18" s="26">
        <v>0.505</v>
      </c>
      <c r="AN18" s="26" t="s">
        <v>487</v>
      </c>
      <c r="AO18" s="26" t="s">
        <v>488</v>
      </c>
      <c r="AP18" s="26">
        <v>0.166</v>
      </c>
      <c r="AQ18" s="26" t="s">
        <v>63</v>
      </c>
      <c r="AR18" s="26" t="s">
        <v>489</v>
      </c>
      <c r="AS18" s="26">
        <v>0.482</v>
      </c>
      <c r="AT18" s="26" t="s">
        <v>490</v>
      </c>
      <c r="AU18" s="26" t="s">
        <v>150</v>
      </c>
      <c r="AV18" s="29">
        <v>0.276</v>
      </c>
      <c r="AW18" s="26" t="s">
        <v>439</v>
      </c>
      <c r="AX18" s="26" t="s">
        <v>491</v>
      </c>
      <c r="AY18" s="29">
        <v>0.137</v>
      </c>
      <c r="AZ18" s="26" t="s">
        <v>347</v>
      </c>
      <c r="BA18" s="26" t="s">
        <v>492</v>
      </c>
      <c r="BB18" s="29">
        <v>0.273</v>
      </c>
      <c r="BC18" s="26" t="s">
        <v>403</v>
      </c>
      <c r="BD18" s="26" t="s">
        <v>493</v>
      </c>
      <c r="BE18" s="29">
        <v>0.473</v>
      </c>
      <c r="BF18" s="26" t="s">
        <v>268</v>
      </c>
      <c r="BG18" s="26" t="s">
        <v>366</v>
      </c>
      <c r="BH18" s="29">
        <v>0.375</v>
      </c>
      <c r="BI18" s="26" t="s">
        <v>494</v>
      </c>
      <c r="BJ18" s="26" t="s">
        <v>318</v>
      </c>
      <c r="BK18" s="29">
        <v>0.22</v>
      </c>
      <c r="BL18" s="30">
        <v>0.749</v>
      </c>
      <c r="BM18" s="30">
        <v>0.848</v>
      </c>
      <c r="BN18" s="29">
        <v>0.196</v>
      </c>
      <c r="BO18" s="30">
        <v>0.77</v>
      </c>
      <c r="BP18" s="30">
        <v>0.851</v>
      </c>
      <c r="BQ18" s="26"/>
      <c r="BR18" s="26"/>
      <c r="BS18" s="26"/>
      <c r="BT18" s="26">
        <v>0.932</v>
      </c>
      <c r="BU18" s="26" t="s">
        <v>158</v>
      </c>
      <c r="BV18" s="26" t="s">
        <v>495</v>
      </c>
      <c r="BW18" s="26" t="s">
        <v>289</v>
      </c>
      <c r="BX18" s="26" t="s">
        <v>496</v>
      </c>
      <c r="BY18" s="26">
        <v>0.962</v>
      </c>
      <c r="BZ18" s="26" t="s">
        <v>150</v>
      </c>
      <c r="CA18" s="26" t="s">
        <v>497</v>
      </c>
      <c r="CB18" s="26" t="s">
        <v>498</v>
      </c>
      <c r="CC18" s="26" t="s">
        <v>499</v>
      </c>
      <c r="CD18" s="26" t="s">
        <v>500</v>
      </c>
      <c r="CE18" s="26" t="s">
        <v>303</v>
      </c>
      <c r="CF18" s="26" t="s">
        <v>437</v>
      </c>
      <c r="CG18" s="26" t="s">
        <v>217</v>
      </c>
      <c r="CH18" s="4">
        <v>0.9933537832</v>
      </c>
      <c r="CI18" s="4">
        <v>0.9872838721</v>
      </c>
      <c r="CJ18" s="4">
        <v>0.9915644172</v>
      </c>
      <c r="CK18" s="4">
        <v>0.9213359746</v>
      </c>
      <c r="CL18" s="4">
        <v>0.7710512126</v>
      </c>
      <c r="CM18" s="402">
        <v>0.748</v>
      </c>
      <c r="CN18" s="144">
        <v>0.746</v>
      </c>
      <c r="CO18" s="144">
        <v>0.444</v>
      </c>
      <c r="CP18" s="144">
        <v>0.166</v>
      </c>
      <c r="CQ18" s="4">
        <v>0.786</v>
      </c>
      <c r="CR18" s="4">
        <v>0.905</v>
      </c>
      <c r="CS18" s="4">
        <v>0.546</v>
      </c>
      <c r="CT18" s="4">
        <v>0.233</v>
      </c>
      <c r="CU18" s="4">
        <v>0.635</v>
      </c>
      <c r="CV18" s="4">
        <v>0.379</v>
      </c>
      <c r="CW18" s="4">
        <v>0.273</v>
      </c>
      <c r="CX18" s="4">
        <v>0.951</v>
      </c>
      <c r="CY18" s="4">
        <v>0.978</v>
      </c>
      <c r="CZ18" s="4">
        <v>0.776</v>
      </c>
      <c r="DA18" s="4">
        <v>0.412</v>
      </c>
      <c r="DB18" s="4">
        <v>0.878</v>
      </c>
      <c r="DC18" s="4">
        <v>0.771</v>
      </c>
      <c r="DD18" s="4">
        <v>0.496</v>
      </c>
      <c r="DE18" s="4">
        <v>0.646</v>
      </c>
      <c r="DF18" s="4">
        <v>0.85</v>
      </c>
      <c r="DG18" s="4">
        <v>0.567</v>
      </c>
      <c r="DH18" s="4">
        <v>0.364</v>
      </c>
      <c r="DI18" s="4">
        <v>0.304</v>
      </c>
      <c r="DJ18" s="4">
        <v>0.146</v>
      </c>
      <c r="DK18" s="4">
        <v>0.372</v>
      </c>
      <c r="DL18" s="4">
        <v>0.984</v>
      </c>
      <c r="DM18" s="4" t="s">
        <v>501</v>
      </c>
      <c r="DN18" s="4" t="s">
        <v>502</v>
      </c>
      <c r="DO18" s="4" t="s">
        <v>293</v>
      </c>
      <c r="DP18" s="4" t="s">
        <v>135</v>
      </c>
      <c r="DQ18" s="352">
        <v>0.578</v>
      </c>
      <c r="DR18" s="352">
        <v>0.661</v>
      </c>
      <c r="DS18" s="352">
        <v>0.848</v>
      </c>
      <c r="DT18" s="352">
        <v>0.364</v>
      </c>
      <c r="DU18" s="352">
        <v>0.192</v>
      </c>
      <c r="DZ18" s="149">
        <f t="shared" ref="DZ18:ED18" si="73">IFERROR(AVERAGE(IFERROR(VALUE(C18),""),IFERROR(VALUE(H18),""),IFERROR(VALUE(M18),""),IFERROR(VALUE(R18),""),IFERROR(VALUE(W18),""),IFERROR(VALUE(AB18),"")),"")</f>
        <v>0.8</v>
      </c>
      <c r="EA18" s="226">
        <f t="shared" si="73"/>
        <v>0.8093333333</v>
      </c>
      <c r="EB18" s="227">
        <f t="shared" si="73"/>
        <v>0.7108333333</v>
      </c>
      <c r="EC18" s="130">
        <f t="shared" si="73"/>
        <v>0.5843333333</v>
      </c>
      <c r="ED18" s="228">
        <f t="shared" si="73"/>
        <v>0.3175</v>
      </c>
      <c r="EE18" s="229">
        <f t="shared" ref="EE18:EG18" si="74">IFERROR(AVERAGE(IFERROR(VALUE(AG18),""),IFERROR(VALUE(AJ18),""),IFERROR(VALUE(AM18),""),IFERROR(VALUE(AP18),""),IFERROR(VALUE(AS18),"")),"")</f>
        <v>0.362</v>
      </c>
      <c r="EF18" s="230">
        <f t="shared" si="74"/>
        <v>0.7124</v>
      </c>
      <c r="EG18" s="170">
        <f t="shared" si="74"/>
        <v>0.6154</v>
      </c>
      <c r="EH18" s="98">
        <v>0.707</v>
      </c>
      <c r="EI18" s="169">
        <v>0.842</v>
      </c>
      <c r="EJ18" s="139">
        <f t="shared" si="55"/>
        <v>0.9624512611</v>
      </c>
      <c r="EK18" s="139">
        <f t="shared" si="56"/>
        <v>0.829820968</v>
      </c>
      <c r="EL18" s="139">
        <f t="shared" si="57"/>
        <v>0.8128911043</v>
      </c>
      <c r="EM18" s="139">
        <f t="shared" si="58"/>
        <v>0.5820839937</v>
      </c>
      <c r="EN18" s="130">
        <f t="shared" si="59"/>
        <v>0.3575128032</v>
      </c>
      <c r="EO18" s="231">
        <v>0.984</v>
      </c>
      <c r="EP18" s="232">
        <f t="shared" ref="EP18:EQ18" si="75">IFERROR(AVERAGE(IFERROR(VALUE(CQ18),""),IFERROR(VALUE(CX18),""),IFERROR(VALUE(DE18),""),IFERROR(VALUE(DM18),"")),"")</f>
        <v>0.8245</v>
      </c>
      <c r="EQ18" s="233">
        <f t="shared" si="75"/>
        <v>0.92175</v>
      </c>
      <c r="ER18" s="234">
        <f t="shared" ref="ER18:ES18" si="76">IFERROR(AVERAGE(IFERROR(VALUE(CU18),""),IFERROR(VALUE(DB18),""),IFERROR(VALUE(DI18),""),IFERROR(VALUE(DO18),"")),"")</f>
        <v>0.6435</v>
      </c>
      <c r="ES18" s="235">
        <f t="shared" si="76"/>
        <v>0.504</v>
      </c>
      <c r="ET18" s="236">
        <f t="shared" ref="ET18:EU18" si="77">IFERROR(AVERAGE(IFERROR(VALUE(CS18),""),IFERROR(VALUE(CZ18),""),IFERROR(VALUE(DG18),"")),"")</f>
        <v>0.6296666667</v>
      </c>
      <c r="EU18" s="237">
        <f t="shared" si="77"/>
        <v>0.3363333333</v>
      </c>
      <c r="EV18" s="51">
        <v>0.688</v>
      </c>
      <c r="EW18" s="51">
        <v>0.279</v>
      </c>
    </row>
    <row r="19">
      <c r="A19" s="52"/>
      <c r="B19" s="142" t="s">
        <v>503</v>
      </c>
      <c r="C19" s="25">
        <v>0.917</v>
      </c>
      <c r="D19" s="26" t="s">
        <v>163</v>
      </c>
      <c r="E19" s="26" t="s">
        <v>504</v>
      </c>
      <c r="F19" s="26" t="s">
        <v>505</v>
      </c>
      <c r="G19" s="26" t="s">
        <v>121</v>
      </c>
      <c r="H19" s="26">
        <v>0.782</v>
      </c>
      <c r="I19" s="26" t="s">
        <v>506</v>
      </c>
      <c r="J19" s="26" t="s">
        <v>329</v>
      </c>
      <c r="K19" s="26" t="s">
        <v>396</v>
      </c>
      <c r="L19" s="26" t="s">
        <v>507</v>
      </c>
      <c r="M19" s="26">
        <v>0.741</v>
      </c>
      <c r="N19" s="26" t="s">
        <v>326</v>
      </c>
      <c r="O19" s="26" t="s">
        <v>508</v>
      </c>
      <c r="P19" s="26" t="s">
        <v>509</v>
      </c>
      <c r="Q19" s="26" t="s">
        <v>354</v>
      </c>
      <c r="R19" s="26">
        <v>0.637</v>
      </c>
      <c r="S19" s="26" t="s">
        <v>164</v>
      </c>
      <c r="T19" s="26" t="s">
        <v>510</v>
      </c>
      <c r="U19" s="26" t="s">
        <v>511</v>
      </c>
      <c r="V19" s="26" t="s">
        <v>512</v>
      </c>
      <c r="W19" s="26">
        <v>0.906</v>
      </c>
      <c r="X19" s="26" t="s">
        <v>513</v>
      </c>
      <c r="Y19" s="26" t="s">
        <v>514</v>
      </c>
      <c r="Z19" s="26" t="s">
        <v>515</v>
      </c>
      <c r="AA19" s="26" t="s">
        <v>516</v>
      </c>
      <c r="AB19" s="26">
        <v>0.728</v>
      </c>
      <c r="AC19" s="26" t="s">
        <v>290</v>
      </c>
      <c r="AD19" s="26" t="s">
        <v>508</v>
      </c>
      <c r="AE19" s="26" t="s">
        <v>517</v>
      </c>
      <c r="AF19" s="27" t="s">
        <v>518</v>
      </c>
      <c r="AG19" s="26">
        <v>0.513</v>
      </c>
      <c r="AH19" s="26" t="s">
        <v>484</v>
      </c>
      <c r="AI19" s="26" t="s">
        <v>519</v>
      </c>
      <c r="AJ19" s="26">
        <v>0.098</v>
      </c>
      <c r="AK19" s="26" t="s">
        <v>520</v>
      </c>
      <c r="AL19" s="26" t="s">
        <v>253</v>
      </c>
      <c r="AM19" s="26">
        <v>0.457</v>
      </c>
      <c r="AN19" s="26" t="s">
        <v>521</v>
      </c>
      <c r="AO19" s="26" t="s">
        <v>522</v>
      </c>
      <c r="AP19" s="26">
        <v>0.215</v>
      </c>
      <c r="AQ19" s="26" t="s">
        <v>410</v>
      </c>
      <c r="AR19" s="26" t="s">
        <v>55</v>
      </c>
      <c r="AS19" s="26">
        <v>0.489</v>
      </c>
      <c r="AT19" s="26" t="s">
        <v>523</v>
      </c>
      <c r="AU19" s="26" t="s">
        <v>524</v>
      </c>
      <c r="AV19" s="28"/>
      <c r="AW19" s="26"/>
      <c r="AX19" s="26"/>
      <c r="AY19" s="29"/>
      <c r="AZ19" s="26"/>
      <c r="BA19" s="26"/>
      <c r="BB19" s="29"/>
      <c r="BC19" s="26"/>
      <c r="BD19" s="26"/>
      <c r="BE19" s="29"/>
      <c r="BF19" s="26"/>
      <c r="BG19" s="26"/>
      <c r="BH19" s="29"/>
      <c r="BI19" s="26"/>
      <c r="BJ19" s="26"/>
      <c r="BK19" s="29"/>
      <c r="BL19" s="29"/>
      <c r="BM19" s="29"/>
      <c r="BN19" s="29"/>
      <c r="BO19" s="29"/>
      <c r="BP19" s="29"/>
      <c r="BQ19" s="26"/>
      <c r="BR19" s="26"/>
      <c r="BS19" s="27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4"/>
      <c r="CI19" s="4"/>
      <c r="CJ19" s="4"/>
      <c r="CK19" s="4"/>
      <c r="CL19" s="4"/>
      <c r="CM19" s="4"/>
      <c r="CN19" s="4"/>
      <c r="CO19" s="4"/>
      <c r="CP19" s="4"/>
      <c r="CQ19" s="145"/>
      <c r="CR19" s="4"/>
      <c r="CS19" s="4"/>
      <c r="CT19" s="4"/>
      <c r="CU19" s="4"/>
      <c r="CV19" s="4"/>
      <c r="CW19" s="4">
        <v>0.21</v>
      </c>
      <c r="CX19" s="4"/>
      <c r="CY19" s="4"/>
      <c r="CZ19" s="4"/>
      <c r="DA19" s="4"/>
      <c r="DB19" s="4"/>
      <c r="DC19" s="4"/>
      <c r="DD19" s="4">
        <v>0.455</v>
      </c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238"/>
      <c r="DQ19" s="4"/>
      <c r="DR19" s="4"/>
      <c r="DS19" s="4"/>
      <c r="DT19" s="4"/>
      <c r="DU19" s="4"/>
      <c r="DZ19" s="239">
        <f t="shared" ref="DZ19:ED19" si="78">IFERROR(AVERAGE(IFERROR(VALUE(C19),""),IFERROR(VALUE(H19),""),IFERROR(VALUE(M19),""),IFERROR(VALUE(R19),""),IFERROR(VALUE(W19),""),IFERROR(VALUE(AB19),"")),"")</f>
        <v>0.7851666667</v>
      </c>
      <c r="EA19" s="217">
        <f t="shared" si="78"/>
        <v>0.8001666667</v>
      </c>
      <c r="EB19" s="240">
        <f t="shared" si="78"/>
        <v>0.7083333333</v>
      </c>
      <c r="EC19" s="241">
        <f t="shared" si="78"/>
        <v>0.5515</v>
      </c>
      <c r="ED19" s="242">
        <f t="shared" si="78"/>
        <v>0.2806666667</v>
      </c>
      <c r="EE19" s="243">
        <f t="shared" ref="EE19:EG19" si="79">IFERROR(AVERAGE(IFERROR(VALUE(AG19),""),IFERROR(VALUE(AJ19),""),IFERROR(VALUE(AM19),""),IFERROR(VALUE(AP19),""),IFERROR(VALUE(AS19),"")),"")</f>
        <v>0.3544</v>
      </c>
      <c r="EF19" s="244">
        <f t="shared" si="79"/>
        <v>0.6936</v>
      </c>
      <c r="EG19" s="173">
        <f t="shared" si="79"/>
        <v>0.6058</v>
      </c>
      <c r="EH19" s="5"/>
      <c r="EI19" s="20"/>
      <c r="EJ19" s="145"/>
      <c r="EK19" s="245"/>
      <c r="EL19" s="246"/>
      <c r="EM19" s="247"/>
      <c r="EN19" s="248"/>
      <c r="EO19" s="145"/>
      <c r="EP19" s="4"/>
      <c r="EQ19" s="4"/>
      <c r="ER19" s="4"/>
      <c r="ES19" s="4"/>
      <c r="ET19" s="5"/>
      <c r="EU19" s="20"/>
      <c r="EV19" s="51"/>
      <c r="EW19" s="51"/>
    </row>
    <row r="20">
      <c r="A20" s="52"/>
      <c r="B20" s="142" t="s">
        <v>525</v>
      </c>
      <c r="C20" s="25">
        <v>0.903</v>
      </c>
      <c r="D20" s="26" t="s">
        <v>526</v>
      </c>
      <c r="E20" s="26" t="s">
        <v>86</v>
      </c>
      <c r="F20" s="26" t="s">
        <v>527</v>
      </c>
      <c r="G20" s="26" t="s">
        <v>255</v>
      </c>
      <c r="H20" s="26">
        <v>0.775</v>
      </c>
      <c r="I20" s="26" t="s">
        <v>528</v>
      </c>
      <c r="J20" s="26" t="s">
        <v>140</v>
      </c>
      <c r="K20" s="26" t="s">
        <v>104</v>
      </c>
      <c r="L20" s="26" t="s">
        <v>72</v>
      </c>
      <c r="M20" s="26">
        <v>0.741</v>
      </c>
      <c r="N20" s="26" t="s">
        <v>484</v>
      </c>
      <c r="O20" s="26" t="s">
        <v>412</v>
      </c>
      <c r="P20" s="26" t="s">
        <v>488</v>
      </c>
      <c r="Q20" s="26" t="s">
        <v>472</v>
      </c>
      <c r="R20" s="26">
        <v>0.632</v>
      </c>
      <c r="S20" s="26" t="s">
        <v>259</v>
      </c>
      <c r="T20" s="26" t="s">
        <v>182</v>
      </c>
      <c r="U20" s="26" t="s">
        <v>161</v>
      </c>
      <c r="V20" s="26" t="s">
        <v>529</v>
      </c>
      <c r="W20" s="26">
        <v>0.921</v>
      </c>
      <c r="X20" s="26" t="s">
        <v>77</v>
      </c>
      <c r="Y20" s="26" t="s">
        <v>116</v>
      </c>
      <c r="Z20" s="26" t="s">
        <v>467</v>
      </c>
      <c r="AA20" s="26" t="s">
        <v>530</v>
      </c>
      <c r="AB20" s="26">
        <v>0.762</v>
      </c>
      <c r="AC20" s="26" t="s">
        <v>531</v>
      </c>
      <c r="AD20" s="26" t="s">
        <v>143</v>
      </c>
      <c r="AE20" s="26" t="s">
        <v>62</v>
      </c>
      <c r="AF20" s="27" t="s">
        <v>178</v>
      </c>
      <c r="AG20" s="26">
        <v>0.522</v>
      </c>
      <c r="AH20" s="26" t="s">
        <v>117</v>
      </c>
      <c r="AI20" s="26" t="s">
        <v>163</v>
      </c>
      <c r="AJ20" s="26">
        <v>0.105</v>
      </c>
      <c r="AK20" s="26" t="s">
        <v>135</v>
      </c>
      <c r="AL20" s="26" t="s">
        <v>532</v>
      </c>
      <c r="AM20" s="26">
        <v>0.424</v>
      </c>
      <c r="AN20" s="26" t="s">
        <v>533</v>
      </c>
      <c r="AO20" s="26" t="s">
        <v>534</v>
      </c>
      <c r="AP20" s="26">
        <v>0.256</v>
      </c>
      <c r="AQ20" s="26" t="s">
        <v>164</v>
      </c>
      <c r="AR20" s="26" t="s">
        <v>535</v>
      </c>
      <c r="AS20" s="26">
        <v>0.458</v>
      </c>
      <c r="AT20" s="26" t="s">
        <v>536</v>
      </c>
      <c r="AU20" s="26" t="s">
        <v>479</v>
      </c>
      <c r="AV20" s="28"/>
      <c r="AW20" s="26"/>
      <c r="AX20" s="26"/>
      <c r="AY20" s="29"/>
      <c r="AZ20" s="26"/>
      <c r="BA20" s="26"/>
      <c r="BB20" s="29"/>
      <c r="BC20" s="26"/>
      <c r="BD20" s="26"/>
      <c r="BE20" s="29"/>
      <c r="BF20" s="26"/>
      <c r="BG20" s="26"/>
      <c r="BH20" s="29"/>
      <c r="BI20" s="26"/>
      <c r="BJ20" s="26"/>
      <c r="BK20" s="29"/>
      <c r="BL20" s="29"/>
      <c r="BM20" s="29"/>
      <c r="BN20" s="29"/>
      <c r="BO20" s="29"/>
      <c r="BP20" s="29"/>
      <c r="BQ20" s="26"/>
      <c r="BR20" s="26"/>
      <c r="BS20" s="27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4"/>
      <c r="CI20" s="4"/>
      <c r="CJ20" s="4"/>
      <c r="CK20" s="4"/>
      <c r="CL20" s="4"/>
      <c r="CM20" s="4"/>
      <c r="CN20" s="4"/>
      <c r="CO20" s="4"/>
      <c r="CP20" s="4"/>
      <c r="CQ20" s="145"/>
      <c r="CR20" s="4"/>
      <c r="CS20" s="4"/>
      <c r="CT20" s="4"/>
      <c r="CU20" s="4"/>
      <c r="CV20" s="4"/>
      <c r="CW20" s="4">
        <v>0.26</v>
      </c>
      <c r="CX20" s="4"/>
      <c r="CY20" s="4"/>
      <c r="CZ20" s="4"/>
      <c r="DA20" s="4"/>
      <c r="DB20" s="4"/>
      <c r="DC20" s="4"/>
      <c r="DD20" s="4">
        <v>0.514</v>
      </c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238"/>
      <c r="DQ20" s="4"/>
      <c r="DR20" s="4"/>
      <c r="DS20" s="4"/>
      <c r="DT20" s="4"/>
      <c r="DU20" s="4"/>
      <c r="DZ20" s="249">
        <f t="shared" ref="DZ20:ED20" si="80">IFERROR(AVERAGE(IFERROR(VALUE(C20),""),IFERROR(VALUE(H20),""),IFERROR(VALUE(M20),""),IFERROR(VALUE(R20),""),IFERROR(VALUE(W20),""),IFERROR(VALUE(AB20),"")),"")</f>
        <v>0.789</v>
      </c>
      <c r="EA20" s="223">
        <f t="shared" si="80"/>
        <v>0.8065</v>
      </c>
      <c r="EB20" s="135">
        <f t="shared" si="80"/>
        <v>0.7041666667</v>
      </c>
      <c r="EC20" s="89">
        <f t="shared" si="80"/>
        <v>0.5785</v>
      </c>
      <c r="ED20" s="250">
        <f t="shared" si="80"/>
        <v>0.318</v>
      </c>
      <c r="EE20" s="91">
        <f t="shared" ref="EE20:EG20" si="81">IFERROR(AVERAGE(IFERROR(VALUE(AG20),""),IFERROR(VALUE(AJ20),""),IFERROR(VALUE(AM20),""),IFERROR(VALUE(AP20),""),IFERROR(VALUE(AS20),"")),"")</f>
        <v>0.353</v>
      </c>
      <c r="EF20" s="251">
        <f t="shared" si="81"/>
        <v>0.694</v>
      </c>
      <c r="EG20" s="153">
        <f t="shared" si="81"/>
        <v>0.598</v>
      </c>
      <c r="EH20" s="5"/>
      <c r="EI20" s="20"/>
      <c r="EJ20" s="145"/>
      <c r="EK20" s="245"/>
      <c r="EL20" s="246"/>
      <c r="EM20" s="247"/>
      <c r="EN20" s="248"/>
      <c r="EO20" s="145"/>
      <c r="EP20" s="4"/>
      <c r="EQ20" s="4"/>
      <c r="ER20" s="4"/>
      <c r="ES20" s="4"/>
      <c r="ET20" s="5"/>
      <c r="EU20" s="20"/>
      <c r="EV20" s="51"/>
      <c r="EW20" s="51"/>
    </row>
    <row r="21">
      <c r="A21" s="52"/>
      <c r="B21" s="53" t="s">
        <v>704</v>
      </c>
      <c r="C21" s="25">
        <v>0.85</v>
      </c>
      <c r="D21" s="26" t="s">
        <v>431</v>
      </c>
      <c r="E21" s="26" t="s">
        <v>688</v>
      </c>
      <c r="F21" s="26" t="s">
        <v>55</v>
      </c>
      <c r="G21" s="26" t="s">
        <v>705</v>
      </c>
      <c r="H21" s="26">
        <v>0.738</v>
      </c>
      <c r="I21" s="26" t="s">
        <v>706</v>
      </c>
      <c r="J21" s="26" t="s">
        <v>707</v>
      </c>
      <c r="K21" s="26" t="s">
        <v>513</v>
      </c>
      <c r="L21" s="26" t="s">
        <v>340</v>
      </c>
      <c r="M21" s="26">
        <v>0.737</v>
      </c>
      <c r="N21" s="26" t="s">
        <v>99</v>
      </c>
      <c r="O21" s="26" t="s">
        <v>84</v>
      </c>
      <c r="P21" s="26" t="s">
        <v>67</v>
      </c>
      <c r="Q21" s="26" t="s">
        <v>708</v>
      </c>
      <c r="R21" s="26">
        <v>0.628</v>
      </c>
      <c r="S21" s="26" t="s">
        <v>90</v>
      </c>
      <c r="T21" s="26" t="s">
        <v>447</v>
      </c>
      <c r="U21" s="26" t="s">
        <v>65</v>
      </c>
      <c r="V21" s="26" t="s">
        <v>709</v>
      </c>
      <c r="W21" s="26">
        <v>0.899</v>
      </c>
      <c r="X21" s="26" t="s">
        <v>58</v>
      </c>
      <c r="Y21" s="26" t="s">
        <v>493</v>
      </c>
      <c r="Z21" s="26" t="s">
        <v>623</v>
      </c>
      <c r="AA21" s="26" t="s">
        <v>710</v>
      </c>
      <c r="AB21" s="26"/>
      <c r="AC21" s="26"/>
      <c r="AD21" s="26"/>
      <c r="AE21" s="26"/>
      <c r="AF21" s="27"/>
      <c r="AG21" s="26">
        <v>0.526</v>
      </c>
      <c r="AH21" s="26" t="s">
        <v>62</v>
      </c>
      <c r="AI21" s="26" t="s">
        <v>630</v>
      </c>
      <c r="AJ21" s="26">
        <v>0.116</v>
      </c>
      <c r="AK21" s="26" t="s">
        <v>711</v>
      </c>
      <c r="AL21" s="26"/>
      <c r="AM21" s="26">
        <v>0.452</v>
      </c>
      <c r="AN21" s="26" t="s">
        <v>369</v>
      </c>
      <c r="AO21" s="26" t="s">
        <v>712</v>
      </c>
      <c r="AP21" s="26"/>
      <c r="AQ21" s="26"/>
      <c r="AR21" s="26"/>
      <c r="AS21" s="26">
        <v>0.398</v>
      </c>
      <c r="AT21" s="26" t="s">
        <v>406</v>
      </c>
      <c r="AU21" s="26" t="s">
        <v>624</v>
      </c>
      <c r="AV21" s="28"/>
      <c r="AW21" s="26"/>
      <c r="AX21" s="26"/>
      <c r="AY21" s="29"/>
      <c r="AZ21" s="26"/>
      <c r="BA21" s="26"/>
      <c r="BB21" s="29"/>
      <c r="BC21" s="26"/>
      <c r="BD21" s="26"/>
      <c r="BE21" s="29"/>
      <c r="BF21" s="26"/>
      <c r="BG21" s="26"/>
      <c r="BH21" s="29"/>
      <c r="BI21" s="26"/>
      <c r="BJ21" s="26"/>
      <c r="BK21" s="29"/>
      <c r="BL21" s="29"/>
      <c r="BM21" s="29"/>
      <c r="BN21" s="29"/>
      <c r="BO21" s="29"/>
      <c r="BP21" s="29"/>
      <c r="BQ21" s="26"/>
      <c r="BR21" s="26"/>
      <c r="BS21" s="27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4"/>
      <c r="CI21" s="4" t="s">
        <v>692</v>
      </c>
      <c r="CJ21" s="4"/>
      <c r="CK21" s="4"/>
      <c r="CL21" s="4"/>
      <c r="CM21" s="4"/>
      <c r="CN21" s="4"/>
      <c r="CO21" s="4"/>
      <c r="CP21" s="4"/>
      <c r="CQ21" s="145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238"/>
      <c r="DQ21" s="4"/>
      <c r="DR21" s="4"/>
      <c r="DS21" s="4"/>
      <c r="DT21" s="4"/>
      <c r="DU21" s="4"/>
      <c r="DZ21" s="403">
        <f t="shared" ref="DZ21:ED21" si="82">IFERROR(AVERAGE(IFERROR(VALUE(C21),""),IFERROR(VALUE(H21),""),IFERROR(VALUE(M21),""),IFERROR(VALUE(R21),""),IFERROR(VALUE(W21),""),IFERROR(VALUE(AB21),"")),"")</f>
        <v>0.642</v>
      </c>
      <c r="EA21" s="404">
        <f t="shared" si="82"/>
        <v>0.637</v>
      </c>
      <c r="EB21" s="405">
        <f t="shared" si="82"/>
        <v>0.5601666667</v>
      </c>
      <c r="EC21" s="406">
        <f t="shared" si="82"/>
        <v>0.4045</v>
      </c>
      <c r="ED21" s="171">
        <f t="shared" si="82"/>
        <v>0.18</v>
      </c>
      <c r="EE21" s="403">
        <f t="shared" ref="EE21:EG21" si="83">IFERROR(AVERAGE(IFERROR(VALUE(AG21),""),IFERROR(VALUE(AJ21),""),IFERROR(VALUE(AM21),""),IFERROR(VALUE(AP21),""),IFERROR(VALUE(AS21),"")),"")</f>
        <v>0.2984</v>
      </c>
      <c r="EF21" s="4" t="str">
        <f t="shared" si="83"/>
        <v/>
      </c>
      <c r="EG21" s="407">
        <f t="shared" si="83"/>
        <v>0.413</v>
      </c>
      <c r="EH21" s="386">
        <f t="shared" ref="EH21:EI21" si="84">IFERROR(AVERAGE(IFERROR(VALUE(AW21),""),IFERROR(VALUE(AZ21),""),IFERROR(VALUE(BC21),""),IFERROR(VALUE(BF21),""),IFERROR(VALUE(BI21),"")),"")</f>
        <v>0</v>
      </c>
      <c r="EI21" s="387">
        <f t="shared" si="84"/>
        <v>0</v>
      </c>
      <c r="EJ21" s="408">
        <f t="shared" ref="EJ21:EJ30" si="91">IFERROR(AVERAGE(IFERROR(VALUE(BT21),""),IFERROR(VALUE(BY21),""),IFERROR(VALUE(CH21),"")),"")</f>
        <v>0</v>
      </c>
      <c r="EK21" s="245" t="str">
        <f t="shared" ref="EK21:EK30" si="92">IFERROR(AVERAGE(IFERROR(VALUE(BZ21),""),IFERROR(VALUE(CD21),""),IFERROR(VALUE(CI21),""),IFERROR(VALUE(CM21),"")),"")</f>
        <v/>
      </c>
      <c r="EL21" s="386">
        <f t="shared" ref="EL21:EL30" si="93">IFERROR(AVERAGE(IFERROR(VALUE(CA21),""),IFERROR(VALUE(CE21),""),IFERROR(VALUE(CJ21),""), IFERROR(VALUE(CN21),"")),"")</f>
        <v>0</v>
      </c>
      <c r="EM21" s="386">
        <f t="shared" ref="EM21:EM30" si="94">IFERROR(AVERAGE(IFERROR(VALUE(CB21),""),IFERROR(VALUE(CF21),""),IFERROR(VALUE(CK21),""),IFERROR(VALUE(CO21),"")),"")</f>
        <v>0</v>
      </c>
      <c r="EN21" s="387">
        <f t="shared" ref="EN21:EN30" si="95">IFERROR(AVERAGE(IFERROR(VALUE(CC21),""),IFERROR(VALUE(CG21),""),IFERROR(VALUE(CL21),""), IFERROR(VALUE(CP21),"")),"")</f>
        <v>0</v>
      </c>
      <c r="EO21" s="385">
        <f t="shared" ref="EO21:EO23" si="96">IFERROR(AVERAGE(IFERROR(VALUE(DL21),"")),"")</f>
        <v>0</v>
      </c>
      <c r="EP21" s="386">
        <f t="shared" ref="EP21:EQ21" si="85">IFERROR(AVERAGE(IFERROR(VALUE(CQ21),""),IFERROR(VALUE(CX21),""),IFERROR(VALUE(DE21),""),IFERROR(VALUE(DM21),"")),"")</f>
        <v>0</v>
      </c>
      <c r="EQ21" s="386">
        <f t="shared" si="85"/>
        <v>0</v>
      </c>
      <c r="ER21" s="386">
        <f t="shared" ref="ER21:ES21" si="86">IFERROR(AVERAGE(IFERROR(VALUE(CU21),""),IFERROR(VALUE(DB21),""),IFERROR(VALUE(DI21),""),IFERROR(VALUE(DO21),"")),"")</f>
        <v>0</v>
      </c>
      <c r="ES21" s="386">
        <f t="shared" si="86"/>
        <v>0</v>
      </c>
      <c r="ET21" s="386">
        <f t="shared" ref="ET21:EU21" si="87">IFERROR(AVERAGE(IFERROR(VALUE(CS21),""),IFERROR(VALUE(CZ21),""),IFERROR(VALUE(DG21),"")),"")</f>
        <v>0</v>
      </c>
      <c r="EU21" s="387">
        <f t="shared" si="87"/>
        <v>0</v>
      </c>
      <c r="EV21" s="51"/>
      <c r="EW21" s="51"/>
    </row>
    <row r="22">
      <c r="A22" s="52"/>
      <c r="B22" s="53" t="s">
        <v>713</v>
      </c>
      <c r="C22" s="25">
        <v>0.87</v>
      </c>
      <c r="D22" s="26" t="s">
        <v>621</v>
      </c>
      <c r="E22" s="26" t="s">
        <v>104</v>
      </c>
      <c r="F22" s="26" t="s">
        <v>143</v>
      </c>
      <c r="G22" s="26" t="s">
        <v>153</v>
      </c>
      <c r="H22" s="26">
        <v>0.759</v>
      </c>
      <c r="I22" s="26" t="s">
        <v>111</v>
      </c>
      <c r="J22" s="26" t="s">
        <v>58</v>
      </c>
      <c r="K22" s="26" t="s">
        <v>464</v>
      </c>
      <c r="L22" s="26" t="s">
        <v>65</v>
      </c>
      <c r="M22" s="26">
        <v>0.733</v>
      </c>
      <c r="N22" s="26" t="s">
        <v>535</v>
      </c>
      <c r="O22" s="26" t="s">
        <v>187</v>
      </c>
      <c r="P22" s="26" t="s">
        <v>714</v>
      </c>
      <c r="Q22" s="26" t="s">
        <v>715</v>
      </c>
      <c r="R22" s="26">
        <v>0.608</v>
      </c>
      <c r="S22" s="26" t="s">
        <v>402</v>
      </c>
      <c r="T22" s="26" t="s">
        <v>269</v>
      </c>
      <c r="U22" s="26" t="s">
        <v>270</v>
      </c>
      <c r="V22" s="26" t="s">
        <v>716</v>
      </c>
      <c r="W22" s="26">
        <v>0.841</v>
      </c>
      <c r="X22" s="26" t="s">
        <v>80</v>
      </c>
      <c r="Y22" s="26" t="s">
        <v>200</v>
      </c>
      <c r="Z22" s="26" t="s">
        <v>717</v>
      </c>
      <c r="AA22" s="26" t="s">
        <v>381</v>
      </c>
      <c r="AB22" s="26"/>
      <c r="AC22" s="26"/>
      <c r="AD22" s="26"/>
      <c r="AE22" s="26"/>
      <c r="AF22" s="27"/>
      <c r="AG22" s="26">
        <v>0.505</v>
      </c>
      <c r="AH22" s="26" t="s">
        <v>200</v>
      </c>
      <c r="AI22" s="26" t="s">
        <v>718</v>
      </c>
      <c r="AJ22" s="26">
        <v>0.107</v>
      </c>
      <c r="AK22" s="26" t="s">
        <v>92</v>
      </c>
      <c r="AL22" s="26" t="s">
        <v>633</v>
      </c>
      <c r="AM22" s="26">
        <v>0.417</v>
      </c>
      <c r="AN22" s="26" t="s">
        <v>149</v>
      </c>
      <c r="AO22" s="26" t="s">
        <v>719</v>
      </c>
      <c r="AP22" s="26"/>
      <c r="AQ22" s="26"/>
      <c r="AR22" s="26"/>
      <c r="AS22" s="26">
        <v>0.482</v>
      </c>
      <c r="AT22" s="26" t="s">
        <v>251</v>
      </c>
      <c r="AU22" s="26" t="s">
        <v>464</v>
      </c>
      <c r="AV22" s="28"/>
      <c r="AW22" s="26"/>
      <c r="AX22" s="26"/>
      <c r="AY22" s="29"/>
      <c r="AZ22" s="26"/>
      <c r="BA22" s="26"/>
      <c r="BB22" s="29"/>
      <c r="BC22" s="26"/>
      <c r="BD22" s="26"/>
      <c r="BE22" s="29"/>
      <c r="BF22" s="26"/>
      <c r="BG22" s="26"/>
      <c r="BH22" s="29"/>
      <c r="BI22" s="26"/>
      <c r="BJ22" s="26"/>
      <c r="BK22" s="29"/>
      <c r="BL22" s="29"/>
      <c r="BM22" s="29"/>
      <c r="BN22" s="29"/>
      <c r="BO22" s="29"/>
      <c r="BP22" s="29"/>
      <c r="BQ22" s="26"/>
      <c r="BR22" s="26"/>
      <c r="BS22" s="27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4"/>
      <c r="CI22" s="4"/>
      <c r="CJ22" s="4"/>
      <c r="CK22" s="4"/>
      <c r="CL22" s="4"/>
      <c r="CM22" s="4"/>
      <c r="CN22" s="4"/>
      <c r="CO22" s="4"/>
      <c r="CP22" s="4"/>
      <c r="CQ22" s="145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238"/>
      <c r="DQ22" s="4"/>
      <c r="DR22" s="4"/>
      <c r="DS22" s="4"/>
      <c r="DT22" s="4"/>
      <c r="DU22" s="4"/>
      <c r="DZ22" s="409">
        <f t="shared" ref="DZ22:ED22" si="88">IFERROR(AVERAGE(IFERROR(VALUE(C22),""),IFERROR(VALUE(H22),""),IFERROR(VALUE(M22),""),IFERROR(VALUE(R22),""),IFERROR(VALUE(W22),""),IFERROR(VALUE(AB22),"")),"")</f>
        <v>0.6351666667</v>
      </c>
      <c r="EA22" s="404">
        <f t="shared" si="88"/>
        <v>0.6338333333</v>
      </c>
      <c r="EB22" s="109">
        <f t="shared" si="88"/>
        <v>0.5485</v>
      </c>
      <c r="EC22" s="406">
        <f t="shared" si="88"/>
        <v>0.4041666667</v>
      </c>
      <c r="ED22" s="85">
        <f t="shared" si="88"/>
        <v>0.1815</v>
      </c>
      <c r="EE22" s="410">
        <f t="shared" ref="EE22:EG22" si="89">IFERROR(AVERAGE(IFERROR(VALUE(AG22),""),IFERROR(VALUE(AJ22),""),IFERROR(VALUE(AM22),""),IFERROR(VALUE(AP22),""),IFERROR(VALUE(AS22),"")),"")</f>
        <v>0.3022</v>
      </c>
      <c r="EF22" s="406">
        <f t="shared" si="89"/>
        <v>0.58</v>
      </c>
      <c r="EG22" s="411">
        <f t="shared" si="89"/>
        <v>0.4748</v>
      </c>
      <c r="EH22" s="386">
        <f t="shared" ref="EH22:EI22" si="90">IFERROR(AVERAGE(IFERROR(VALUE(AW22),""),IFERROR(VALUE(AZ22),""),IFERROR(VALUE(BC22),""),IFERROR(VALUE(BF22),""),IFERROR(VALUE(BI22),"")),"")</f>
        <v>0</v>
      </c>
      <c r="EI22" s="387">
        <f t="shared" si="90"/>
        <v>0</v>
      </c>
      <c r="EJ22" s="385">
        <f t="shared" si="91"/>
        <v>0</v>
      </c>
      <c r="EK22" s="386">
        <f t="shared" si="92"/>
        <v>0</v>
      </c>
      <c r="EL22" s="386">
        <f t="shared" si="93"/>
        <v>0</v>
      </c>
      <c r="EM22" s="386">
        <f t="shared" si="94"/>
        <v>0</v>
      </c>
      <c r="EN22" s="387">
        <f t="shared" si="95"/>
        <v>0</v>
      </c>
      <c r="EO22" s="385">
        <f t="shared" si="96"/>
        <v>0</v>
      </c>
      <c r="EP22" s="386">
        <f t="shared" ref="EP22:EQ22" si="97">IFERROR(AVERAGE(IFERROR(VALUE(CQ22),""),IFERROR(VALUE(CX22),""),IFERROR(VALUE(DE22),""),IFERROR(VALUE(DM22),"")),"")</f>
        <v>0</v>
      </c>
      <c r="EQ22" s="386">
        <f t="shared" si="97"/>
        <v>0</v>
      </c>
      <c r="ER22" s="386">
        <f t="shared" ref="ER22:ES22" si="98">IFERROR(AVERAGE(IFERROR(VALUE(CU22),""),IFERROR(VALUE(DB22),""),IFERROR(VALUE(DI22),""),IFERROR(VALUE(DO22),"")),"")</f>
        <v>0</v>
      </c>
      <c r="ES22" s="386">
        <f t="shared" si="98"/>
        <v>0</v>
      </c>
      <c r="ET22" s="386">
        <f t="shared" ref="ET22:EU22" si="99">IFERROR(AVERAGE(IFERROR(VALUE(CS22),""),IFERROR(VALUE(CZ22),""),IFERROR(VALUE(DG22),"")),"")</f>
        <v>0</v>
      </c>
      <c r="EU22" s="387">
        <f t="shared" si="99"/>
        <v>0</v>
      </c>
      <c r="EV22" s="51"/>
      <c r="EW22" s="51"/>
    </row>
    <row r="23">
      <c r="A23" s="52"/>
      <c r="B23" s="53" t="s">
        <v>720</v>
      </c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8"/>
      <c r="AW23" s="26"/>
      <c r="AX23" s="26"/>
      <c r="AY23" s="29"/>
      <c r="AZ23" s="26"/>
      <c r="BA23" s="26"/>
      <c r="BB23" s="29"/>
      <c r="BC23" s="26"/>
      <c r="BD23" s="26"/>
      <c r="BE23" s="29"/>
      <c r="BF23" s="26"/>
      <c r="BG23" s="26"/>
      <c r="BH23" s="29"/>
      <c r="BI23" s="26"/>
      <c r="BJ23" s="26"/>
      <c r="BK23" s="29"/>
      <c r="BL23" s="29"/>
      <c r="BM23" s="29"/>
      <c r="BN23" s="29"/>
      <c r="BO23" s="29"/>
      <c r="BP23" s="29"/>
      <c r="BQ23" s="26"/>
      <c r="BR23" s="26"/>
      <c r="BS23" s="27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4"/>
      <c r="CI23" s="4"/>
      <c r="CJ23" s="4"/>
      <c r="CK23" s="4"/>
      <c r="CL23" s="4"/>
      <c r="CM23" s="4"/>
      <c r="CN23" s="4"/>
      <c r="CO23" s="4"/>
      <c r="CP23" s="4"/>
      <c r="CQ23" s="145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238"/>
      <c r="DQ23" s="4"/>
      <c r="DR23" s="4"/>
      <c r="DS23" s="4"/>
      <c r="DT23" s="4"/>
      <c r="DU23" s="4"/>
      <c r="DZ23" s="385">
        <f t="shared" ref="DZ23:ED23" si="100">IFERROR(AVERAGE(IFERROR(VALUE(C23),""),IFERROR(VALUE(H23),""),IFERROR(VALUE(M23),""),IFERROR(VALUE(R23),""),IFERROR(VALUE(W23),""),IFERROR(VALUE(AB23),"")),"")</f>
        <v>0</v>
      </c>
      <c r="EA23" s="386">
        <f t="shared" si="100"/>
        <v>0</v>
      </c>
      <c r="EB23" s="386">
        <f t="shared" si="100"/>
        <v>0</v>
      </c>
      <c r="EC23" s="386">
        <f t="shared" si="100"/>
        <v>0</v>
      </c>
      <c r="ED23" s="387">
        <f t="shared" si="100"/>
        <v>0</v>
      </c>
      <c r="EE23" s="385">
        <f t="shared" ref="EE23:EG23" si="101">IFERROR(AVERAGE(IFERROR(VALUE(AG23),""),IFERROR(VALUE(AJ23),""),IFERROR(VALUE(AM23),""),IFERROR(VALUE(AP23),""),IFERROR(VALUE(AS23),"")),"")</f>
        <v>0</v>
      </c>
      <c r="EF23" s="386">
        <f t="shared" si="101"/>
        <v>0</v>
      </c>
      <c r="EG23" s="387">
        <f t="shared" si="101"/>
        <v>0</v>
      </c>
      <c r="EH23" s="386">
        <f t="shared" ref="EH23:EI23" si="102">IFERROR(AVERAGE(IFERROR(VALUE(AW23),""),IFERROR(VALUE(AZ23),""),IFERROR(VALUE(BC23),""),IFERROR(VALUE(BF23),""),IFERROR(VALUE(BI23),"")),"")</f>
        <v>0</v>
      </c>
      <c r="EI23" s="387">
        <f t="shared" si="102"/>
        <v>0</v>
      </c>
      <c r="EJ23" s="385">
        <f t="shared" si="91"/>
        <v>0</v>
      </c>
      <c r="EK23" s="386">
        <f t="shared" si="92"/>
        <v>0</v>
      </c>
      <c r="EL23" s="386">
        <f t="shared" si="93"/>
        <v>0</v>
      </c>
      <c r="EM23" s="386">
        <f t="shared" si="94"/>
        <v>0</v>
      </c>
      <c r="EN23" s="387">
        <f t="shared" si="95"/>
        <v>0</v>
      </c>
      <c r="EO23" s="385">
        <f t="shared" si="96"/>
        <v>0</v>
      </c>
      <c r="EP23" s="386">
        <f t="shared" ref="EP23:EQ23" si="103">IFERROR(AVERAGE(IFERROR(VALUE(CQ23),""),IFERROR(VALUE(CX23),""),IFERROR(VALUE(DE23),""),IFERROR(VALUE(DM23),"")),"")</f>
        <v>0</v>
      </c>
      <c r="EQ23" s="386">
        <f t="shared" si="103"/>
        <v>0</v>
      </c>
      <c r="ER23" s="386">
        <f t="shared" ref="ER23:ES23" si="104">IFERROR(AVERAGE(IFERROR(VALUE(CU23),""),IFERROR(VALUE(DB23),""),IFERROR(VALUE(DI23),""),IFERROR(VALUE(DO23),"")),"")</f>
        <v>0</v>
      </c>
      <c r="ES23" s="386">
        <f t="shared" si="104"/>
        <v>0</v>
      </c>
      <c r="ET23" s="386">
        <f t="shared" ref="ET23:EU23" si="105">IFERROR(AVERAGE(IFERROR(VALUE(CS23),""),IFERROR(VALUE(CZ23),""),IFERROR(VALUE(DG23),"")),"")</f>
        <v>0</v>
      </c>
      <c r="EU23" s="387">
        <f t="shared" si="105"/>
        <v>0</v>
      </c>
      <c r="EV23" s="51"/>
      <c r="EW23" s="51"/>
    </row>
    <row r="24">
      <c r="A24" s="52"/>
      <c r="B24" s="53" t="s">
        <v>540</v>
      </c>
      <c r="C24" s="25">
        <v>0.855</v>
      </c>
      <c r="D24" s="26" t="s">
        <v>541</v>
      </c>
      <c r="E24" s="26" t="s">
        <v>542</v>
      </c>
      <c r="F24" s="26" t="s">
        <v>164</v>
      </c>
      <c r="G24" s="26" t="s">
        <v>543</v>
      </c>
      <c r="H24" s="26">
        <v>0.266</v>
      </c>
      <c r="I24" s="26" t="s">
        <v>421</v>
      </c>
      <c r="J24" s="26" t="s">
        <v>183</v>
      </c>
      <c r="K24" s="26" t="s">
        <v>544</v>
      </c>
      <c r="L24" s="26" t="s">
        <v>545</v>
      </c>
      <c r="M24" s="26">
        <v>0.8</v>
      </c>
      <c r="N24" s="26" t="s">
        <v>123</v>
      </c>
      <c r="O24" s="26" t="s">
        <v>167</v>
      </c>
      <c r="P24" s="26" t="s">
        <v>546</v>
      </c>
      <c r="Q24" s="26" t="s">
        <v>547</v>
      </c>
      <c r="R24" s="26">
        <v>0.654</v>
      </c>
      <c r="S24" s="26" t="s">
        <v>548</v>
      </c>
      <c r="T24" s="26" t="s">
        <v>549</v>
      </c>
      <c r="U24" s="26" t="s">
        <v>550</v>
      </c>
      <c r="V24" s="26" t="s">
        <v>551</v>
      </c>
      <c r="W24" s="26">
        <v>0.784</v>
      </c>
      <c r="X24" s="26" t="s">
        <v>552</v>
      </c>
      <c r="Y24" s="26" t="s">
        <v>553</v>
      </c>
      <c r="Z24" s="26" t="s">
        <v>554</v>
      </c>
      <c r="AA24" s="26" t="s">
        <v>555</v>
      </c>
      <c r="AB24" s="26">
        <v>0.868</v>
      </c>
      <c r="AC24" s="26" t="s">
        <v>141</v>
      </c>
      <c r="AD24" s="26" t="s">
        <v>556</v>
      </c>
      <c r="AE24" s="26" t="s">
        <v>142</v>
      </c>
      <c r="AF24" s="27" t="s">
        <v>337</v>
      </c>
      <c r="AG24" s="26">
        <v>0.418</v>
      </c>
      <c r="AH24" s="26" t="s">
        <v>88</v>
      </c>
      <c r="AI24" s="26" t="s">
        <v>232</v>
      </c>
      <c r="AJ24" s="26">
        <v>0.086</v>
      </c>
      <c r="AK24" s="26" t="s">
        <v>464</v>
      </c>
      <c r="AL24" s="26" t="s">
        <v>557</v>
      </c>
      <c r="AM24" s="26">
        <v>0.534</v>
      </c>
      <c r="AN24" s="26" t="s">
        <v>481</v>
      </c>
      <c r="AO24" s="26" t="s">
        <v>193</v>
      </c>
      <c r="AP24" s="26">
        <v>0.255</v>
      </c>
      <c r="AQ24" s="26" t="s">
        <v>558</v>
      </c>
      <c r="AR24" s="26" t="s">
        <v>93</v>
      </c>
      <c r="AS24" s="26">
        <v>0.263</v>
      </c>
      <c r="AT24" s="26" t="s">
        <v>559</v>
      </c>
      <c r="AU24" s="26" t="s">
        <v>55</v>
      </c>
      <c r="AV24" s="28">
        <v>0.147</v>
      </c>
      <c r="AW24" s="26" t="s">
        <v>87</v>
      </c>
      <c r="AX24" s="26" t="s">
        <v>288</v>
      </c>
      <c r="AY24" s="29">
        <v>0.06</v>
      </c>
      <c r="AZ24" s="26" t="s">
        <v>560</v>
      </c>
      <c r="BA24" s="26" t="s">
        <v>531</v>
      </c>
      <c r="BB24" s="29">
        <v>0.074</v>
      </c>
      <c r="BC24" s="26" t="s">
        <v>140</v>
      </c>
      <c r="BD24" s="26" t="s">
        <v>80</v>
      </c>
      <c r="BE24" s="29">
        <v>0.23</v>
      </c>
      <c r="BF24" s="26" t="s">
        <v>281</v>
      </c>
      <c r="BG24" s="26" t="s">
        <v>96</v>
      </c>
      <c r="BH24" s="29">
        <v>0.138</v>
      </c>
      <c r="BI24" s="26" t="s">
        <v>179</v>
      </c>
      <c r="BJ24" s="26" t="s">
        <v>489</v>
      </c>
      <c r="BK24" s="29">
        <v>0.114</v>
      </c>
      <c r="BL24" s="29">
        <v>0.739</v>
      </c>
      <c r="BM24" s="29">
        <v>0.796</v>
      </c>
      <c r="BN24" s="29">
        <v>0.112</v>
      </c>
      <c r="BO24" s="29">
        <v>0.723</v>
      </c>
      <c r="BP24" s="29">
        <v>0.822</v>
      </c>
      <c r="BQ24" s="26"/>
      <c r="BR24" s="26"/>
      <c r="BS24" s="27"/>
      <c r="BT24" s="72">
        <v>0.797</v>
      </c>
      <c r="BU24" s="26" t="s">
        <v>219</v>
      </c>
      <c r="BV24" s="26" t="s">
        <v>205</v>
      </c>
      <c r="BW24" s="26" t="s">
        <v>256</v>
      </c>
      <c r="BX24" s="26" t="s">
        <v>81</v>
      </c>
      <c r="BY24" s="72">
        <v>0.841</v>
      </c>
      <c r="BZ24" s="26" t="s">
        <v>154</v>
      </c>
      <c r="CA24" s="26" t="s">
        <v>241</v>
      </c>
      <c r="CB24" s="26" t="s">
        <v>561</v>
      </c>
      <c r="CC24" s="26" t="s">
        <v>562</v>
      </c>
      <c r="CD24" s="26" t="s">
        <v>563</v>
      </c>
      <c r="CE24" s="26" t="s">
        <v>159</v>
      </c>
      <c r="CF24" s="26" t="s">
        <v>564</v>
      </c>
      <c r="CG24" s="26" t="s">
        <v>340</v>
      </c>
      <c r="CH24" s="4">
        <v>0.9856850716</v>
      </c>
      <c r="CI24" s="4">
        <v>0.976611924</v>
      </c>
      <c r="CJ24" s="4">
        <v>0.9915644172</v>
      </c>
      <c r="CK24" s="4">
        <v>0.8851536914</v>
      </c>
      <c r="CL24" s="4">
        <v>0.6555402039</v>
      </c>
      <c r="CM24" s="144">
        <v>0.688</v>
      </c>
      <c r="CN24" s="144">
        <v>0.749</v>
      </c>
      <c r="CO24" s="144">
        <v>0.379</v>
      </c>
      <c r="CP24" s="144">
        <v>0.134</v>
      </c>
      <c r="CQ24" s="145">
        <v>0.638</v>
      </c>
      <c r="CR24" s="4">
        <v>0.79</v>
      </c>
      <c r="CS24" s="4">
        <v>0.544</v>
      </c>
      <c r="CT24" s="4">
        <v>0.09</v>
      </c>
      <c r="CU24" s="4">
        <v>0.265</v>
      </c>
      <c r="CV24" s="4">
        <v>0.094</v>
      </c>
      <c r="CW24" s="4">
        <v>0.165</v>
      </c>
      <c r="CX24" s="4">
        <v>0.908</v>
      </c>
      <c r="CY24" s="4">
        <v>0.973</v>
      </c>
      <c r="CZ24" s="4">
        <v>0.643</v>
      </c>
      <c r="DA24" s="4">
        <v>0.243</v>
      </c>
      <c r="DB24" s="4">
        <v>0.849</v>
      </c>
      <c r="DC24" s="4">
        <v>0.678</v>
      </c>
      <c r="DD24" s="4">
        <v>0.251</v>
      </c>
      <c r="DE24" s="4">
        <v>0.685</v>
      </c>
      <c r="DF24" s="4">
        <v>0.802</v>
      </c>
      <c r="DG24" s="4">
        <v>0.473</v>
      </c>
      <c r="DH24" s="4">
        <v>0.062</v>
      </c>
      <c r="DI24" s="4">
        <v>0.319</v>
      </c>
      <c r="DJ24" s="4">
        <v>0.175</v>
      </c>
      <c r="DK24" s="4">
        <v>0.073</v>
      </c>
      <c r="DL24" s="4">
        <v>0.957</v>
      </c>
      <c r="DM24" s="4" t="s">
        <v>158</v>
      </c>
      <c r="DN24" s="4" t="s">
        <v>565</v>
      </c>
      <c r="DO24" s="4" t="s">
        <v>385</v>
      </c>
      <c r="DP24" s="238" t="s">
        <v>566</v>
      </c>
      <c r="DQ24" s="352">
        <v>0.241</v>
      </c>
      <c r="DR24" s="352">
        <v>0.643</v>
      </c>
      <c r="DS24" s="352">
        <v>0.743</v>
      </c>
      <c r="DT24" s="352">
        <v>0.218</v>
      </c>
      <c r="DU24" s="352">
        <v>0.091</v>
      </c>
      <c r="DZ24" s="108">
        <f t="shared" ref="DZ24:ED24" si="106">IFERROR(AVERAGE(IFERROR(VALUE(C24),""),IFERROR(VALUE(H24),""),IFERROR(VALUE(M24),""),IFERROR(VALUE(R24),""),IFERROR(VALUE(W24),""),IFERROR(VALUE(AB24),"")),"")</f>
        <v>0.7045</v>
      </c>
      <c r="EA24" s="41">
        <f t="shared" si="106"/>
        <v>0.7143333333</v>
      </c>
      <c r="EB24" s="74">
        <f t="shared" si="106"/>
        <v>0.5718333333</v>
      </c>
      <c r="EC24" s="35">
        <f t="shared" si="106"/>
        <v>0.4733333333</v>
      </c>
      <c r="ED24" s="252">
        <f t="shared" si="106"/>
        <v>0.1875</v>
      </c>
      <c r="EE24" s="253">
        <f t="shared" ref="EE24:EG24" si="107">IFERROR(AVERAGE(IFERROR(VALUE(AG24),""),IFERROR(VALUE(AJ24),""),IFERROR(VALUE(AM24),""),IFERROR(VALUE(AP24),""),IFERROR(VALUE(AS24),"")),"")</f>
        <v>0.3112</v>
      </c>
      <c r="EF24" s="254">
        <f t="shared" si="107"/>
        <v>0.7036</v>
      </c>
      <c r="EG24" s="255">
        <f t="shared" si="107"/>
        <v>0.6338</v>
      </c>
      <c r="EH24" s="229">
        <v>0.685</v>
      </c>
      <c r="EI24" s="57">
        <v>0.792</v>
      </c>
      <c r="EJ24" s="256">
        <f t="shared" si="91"/>
        <v>0.8745616905</v>
      </c>
      <c r="EK24" s="257">
        <f t="shared" si="92"/>
        <v>0.801152981</v>
      </c>
      <c r="EL24" s="163">
        <f t="shared" si="93"/>
        <v>0.7976411043</v>
      </c>
      <c r="EM24" s="258">
        <f t="shared" si="94"/>
        <v>0.5327884229</v>
      </c>
      <c r="EN24" s="259">
        <f t="shared" si="95"/>
        <v>0.296135051</v>
      </c>
      <c r="EO24" s="260">
        <v>0.957</v>
      </c>
      <c r="EP24" s="83">
        <f t="shared" ref="EP24:EQ24" si="108">IFERROR(AVERAGE(IFERROR(VALUE(CQ24),""),IFERROR(VALUE(CX24),""),IFERROR(VALUE(DE24),""),IFERROR(VALUE(DM24),"")),"")</f>
        <v>0.76975</v>
      </c>
      <c r="EQ24" s="41">
        <f t="shared" si="108"/>
        <v>0.88075</v>
      </c>
      <c r="ER24" s="34">
        <f t="shared" ref="ER24:ES24" si="109">IFERROR(AVERAGE(IFERROR(VALUE(CU24),""),IFERROR(VALUE(DB24),""),IFERROR(VALUE(DI24),""),IFERROR(VALUE(DO24),"")),"")</f>
        <v>0.511</v>
      </c>
      <c r="ES24" s="35">
        <f t="shared" si="109"/>
        <v>0.36375</v>
      </c>
      <c r="ET24" s="261">
        <f t="shared" ref="ET24:EU24" si="110">IFERROR(AVERAGE(IFERROR(VALUE(CS24),""),IFERROR(VALUE(CZ24),""),IFERROR(VALUE(DG24),"")),"")</f>
        <v>0.5533333333</v>
      </c>
      <c r="EU24" s="262">
        <f t="shared" si="110"/>
        <v>0.1316666667</v>
      </c>
      <c r="EV24" s="51">
        <v>0.627</v>
      </c>
      <c r="EW24" s="51">
        <v>0.125</v>
      </c>
    </row>
    <row r="25">
      <c r="A25" s="52"/>
      <c r="B25" s="53" t="s">
        <v>567</v>
      </c>
      <c r="C25" s="25">
        <v>0.823</v>
      </c>
      <c r="D25" s="26" t="s">
        <v>244</v>
      </c>
      <c r="E25" s="26" t="s">
        <v>385</v>
      </c>
      <c r="F25" s="26" t="s">
        <v>332</v>
      </c>
      <c r="G25" s="26" t="s">
        <v>568</v>
      </c>
      <c r="H25" s="26">
        <v>0.33</v>
      </c>
      <c r="I25" s="26" t="s">
        <v>569</v>
      </c>
      <c r="J25" s="26" t="s">
        <v>570</v>
      </c>
      <c r="K25" s="26" t="s">
        <v>571</v>
      </c>
      <c r="L25" s="26" t="s">
        <v>545</v>
      </c>
      <c r="M25" s="26">
        <v>0.758</v>
      </c>
      <c r="N25" s="26" t="s">
        <v>443</v>
      </c>
      <c r="O25" s="26" t="s">
        <v>439</v>
      </c>
      <c r="P25" s="26" t="s">
        <v>572</v>
      </c>
      <c r="Q25" s="26" t="s">
        <v>573</v>
      </c>
      <c r="R25" s="26">
        <v>0.639</v>
      </c>
      <c r="S25" s="26" t="s">
        <v>574</v>
      </c>
      <c r="T25" s="26" t="s">
        <v>319</v>
      </c>
      <c r="U25" s="26" t="s">
        <v>575</v>
      </c>
      <c r="V25" s="26" t="s">
        <v>576</v>
      </c>
      <c r="W25" s="26">
        <v>0.863</v>
      </c>
      <c r="X25" s="26" t="s">
        <v>577</v>
      </c>
      <c r="Y25" s="26" t="s">
        <v>578</v>
      </c>
      <c r="Z25" s="26" t="s">
        <v>579</v>
      </c>
      <c r="AA25" s="26" t="s">
        <v>580</v>
      </c>
      <c r="AB25" s="26">
        <v>0.74</v>
      </c>
      <c r="AC25" s="26" t="s">
        <v>581</v>
      </c>
      <c r="AD25" s="26" t="s">
        <v>582</v>
      </c>
      <c r="AE25" s="26" t="s">
        <v>149</v>
      </c>
      <c r="AF25" s="27" t="s">
        <v>583</v>
      </c>
      <c r="AG25" s="26">
        <v>0.428</v>
      </c>
      <c r="AH25" s="26" t="s">
        <v>194</v>
      </c>
      <c r="AI25" s="26" t="s">
        <v>584</v>
      </c>
      <c r="AJ25" s="26">
        <v>0.087</v>
      </c>
      <c r="AK25" s="26" t="s">
        <v>558</v>
      </c>
      <c r="AL25" s="26" t="s">
        <v>295</v>
      </c>
      <c r="AM25" s="26">
        <v>0.571</v>
      </c>
      <c r="AN25" s="26" t="s">
        <v>585</v>
      </c>
      <c r="AO25" s="26" t="s">
        <v>206</v>
      </c>
      <c r="AP25" s="26">
        <v>0.081</v>
      </c>
      <c r="AQ25" s="26" t="s">
        <v>262</v>
      </c>
      <c r="AR25" s="26" t="s">
        <v>229</v>
      </c>
      <c r="AS25" s="26">
        <v>0.389</v>
      </c>
      <c r="AT25" s="26" t="s">
        <v>131</v>
      </c>
      <c r="AU25" s="26" t="s">
        <v>235</v>
      </c>
      <c r="AV25" s="28">
        <v>0.214</v>
      </c>
      <c r="AW25" s="26" t="s">
        <v>196</v>
      </c>
      <c r="AX25" s="26" t="s">
        <v>586</v>
      </c>
      <c r="AY25" s="29">
        <v>0.069</v>
      </c>
      <c r="AZ25" s="26" t="s">
        <v>587</v>
      </c>
      <c r="BA25" s="26" t="s">
        <v>185</v>
      </c>
      <c r="BB25" s="29">
        <v>0.105</v>
      </c>
      <c r="BC25" s="26" t="s">
        <v>588</v>
      </c>
      <c r="BD25" s="26" t="s">
        <v>119</v>
      </c>
      <c r="BE25" s="29">
        <v>0.257</v>
      </c>
      <c r="BF25" s="26" t="s">
        <v>402</v>
      </c>
      <c r="BG25" s="26" t="s">
        <v>589</v>
      </c>
      <c r="BH25" s="29">
        <v>0.119</v>
      </c>
      <c r="BI25" s="26" t="s">
        <v>304</v>
      </c>
      <c r="BJ25" s="26" t="s">
        <v>590</v>
      </c>
      <c r="BK25" s="29">
        <v>0.125</v>
      </c>
      <c r="BL25" s="29">
        <v>0.642</v>
      </c>
      <c r="BM25" s="29">
        <v>0.779</v>
      </c>
      <c r="BN25" s="29">
        <v>0.114</v>
      </c>
      <c r="BO25" s="29">
        <v>0.657</v>
      </c>
      <c r="BP25" s="29">
        <v>0.816</v>
      </c>
      <c r="BQ25" s="26"/>
      <c r="BR25" s="26"/>
      <c r="BS25" s="27"/>
      <c r="BT25" s="26">
        <v>0.742</v>
      </c>
      <c r="BU25" s="26" t="s">
        <v>441</v>
      </c>
      <c r="BV25" s="26" t="s">
        <v>591</v>
      </c>
      <c r="BW25" s="26" t="s">
        <v>488</v>
      </c>
      <c r="BX25" s="26" t="s">
        <v>592</v>
      </c>
      <c r="BY25" s="26">
        <v>0.841</v>
      </c>
      <c r="BZ25" s="26" t="s">
        <v>88</v>
      </c>
      <c r="CA25" s="26" t="s">
        <v>306</v>
      </c>
      <c r="CB25" s="26" t="s">
        <v>593</v>
      </c>
      <c r="CC25" s="26" t="s">
        <v>127</v>
      </c>
      <c r="CD25" s="26" t="s">
        <v>594</v>
      </c>
      <c r="CE25" s="72">
        <v>0.56</v>
      </c>
      <c r="CF25" s="26" t="s">
        <v>248</v>
      </c>
      <c r="CG25" s="26" t="s">
        <v>595</v>
      </c>
      <c r="CH25" s="4">
        <v>0.9700920245</v>
      </c>
      <c r="CI25" s="4">
        <v>0.9343732325</v>
      </c>
      <c r="CJ25" s="4">
        <v>0.9930981595</v>
      </c>
      <c r="CK25" s="4">
        <v>0.8159253752</v>
      </c>
      <c r="CL25" s="4">
        <v>0.5463171349</v>
      </c>
      <c r="CM25" s="144">
        <v>0.63</v>
      </c>
      <c r="CN25" s="144">
        <v>0.629</v>
      </c>
      <c r="CO25" s="144">
        <v>0.26</v>
      </c>
      <c r="CP25" s="144">
        <v>0.068</v>
      </c>
      <c r="CQ25" s="145">
        <v>0.65</v>
      </c>
      <c r="CR25" s="4">
        <v>0.88</v>
      </c>
      <c r="CS25" s="4">
        <v>0.54</v>
      </c>
      <c r="CT25" s="4">
        <v>0.109</v>
      </c>
      <c r="CU25" s="4">
        <v>0.265</v>
      </c>
      <c r="CV25" s="4">
        <v>0.078</v>
      </c>
      <c r="CW25" s="4">
        <v>0.175</v>
      </c>
      <c r="CX25" s="4">
        <v>0.917</v>
      </c>
      <c r="CY25" s="4">
        <v>0.968</v>
      </c>
      <c r="CZ25" s="4">
        <v>0.689</v>
      </c>
      <c r="DA25" s="4">
        <v>0.207</v>
      </c>
      <c r="DB25" s="4">
        <v>0.741</v>
      </c>
      <c r="DC25" s="4">
        <v>0.556</v>
      </c>
      <c r="DD25" s="4">
        <v>0.307</v>
      </c>
      <c r="DE25" s="4">
        <v>0.636</v>
      </c>
      <c r="DF25" s="4">
        <v>0.783</v>
      </c>
      <c r="DG25" s="4">
        <v>0.474</v>
      </c>
      <c r="DH25" s="4">
        <v>0.078</v>
      </c>
      <c r="DI25" s="4">
        <v>0.171</v>
      </c>
      <c r="DJ25" s="4">
        <v>0.057</v>
      </c>
      <c r="DK25" s="4">
        <v>0.115</v>
      </c>
      <c r="DL25" s="4">
        <v>0.914</v>
      </c>
      <c r="DM25" s="4" t="s">
        <v>214</v>
      </c>
      <c r="DN25" s="4" t="s">
        <v>134</v>
      </c>
      <c r="DO25" s="4" t="s">
        <v>596</v>
      </c>
      <c r="DP25" s="238" t="s">
        <v>597</v>
      </c>
      <c r="DQ25" s="352">
        <v>0.254</v>
      </c>
      <c r="DR25" s="352">
        <v>0.606</v>
      </c>
      <c r="DS25" s="352">
        <v>0.759</v>
      </c>
      <c r="DT25" s="352">
        <v>0.158</v>
      </c>
      <c r="DU25" s="352">
        <v>0.05</v>
      </c>
      <c r="DZ25" s="263">
        <f t="shared" ref="DZ25:ED25" si="111">IFERROR(AVERAGE(IFERROR(VALUE(C25),""),IFERROR(VALUE(H25),""),IFERROR(VALUE(M25),""),IFERROR(VALUE(R25),""),IFERROR(VALUE(W25),""),IFERROR(VALUE(AB25),"")),"")</f>
        <v>0.6921666667</v>
      </c>
      <c r="EA25" s="264">
        <f t="shared" si="111"/>
        <v>0.6705333333</v>
      </c>
      <c r="EB25" s="265">
        <f t="shared" si="111"/>
        <v>0.4985</v>
      </c>
      <c r="EC25" s="111">
        <f t="shared" si="111"/>
        <v>0.4096666667</v>
      </c>
      <c r="ED25" s="266">
        <f t="shared" si="111"/>
        <v>0.1171666667</v>
      </c>
      <c r="EE25" s="253">
        <f t="shared" ref="EE25:EG25" si="112">IFERROR(AVERAGE(IFERROR(VALUE(AG25),""),IFERROR(VALUE(AJ25),""),IFERROR(VALUE(AM25),""),IFERROR(VALUE(AP25),""),IFERROR(VALUE(AS25),"")),"")</f>
        <v>0.3112</v>
      </c>
      <c r="EF25" s="35">
        <f t="shared" si="112"/>
        <v>0.6794</v>
      </c>
      <c r="EG25" s="57">
        <f t="shared" si="112"/>
        <v>0.6068</v>
      </c>
      <c r="EH25" s="237">
        <v>0.631</v>
      </c>
      <c r="EI25" s="113">
        <v>0.773</v>
      </c>
      <c r="EJ25" s="33">
        <f t="shared" si="91"/>
        <v>0.8510306748</v>
      </c>
      <c r="EK25" s="41">
        <f t="shared" si="92"/>
        <v>0.7568433081</v>
      </c>
      <c r="EL25" s="38">
        <f t="shared" si="93"/>
        <v>0.7635245399</v>
      </c>
      <c r="EM25" s="237">
        <f t="shared" si="94"/>
        <v>0.4662313438</v>
      </c>
      <c r="EN25" s="267">
        <f t="shared" si="95"/>
        <v>0.2303292837</v>
      </c>
      <c r="EO25" s="268">
        <v>0.914</v>
      </c>
      <c r="EP25" s="41">
        <f t="shared" ref="EP25:EQ25" si="113">IFERROR(AVERAGE(IFERROR(VALUE(CQ25),""),IFERROR(VALUE(CX25),""),IFERROR(VALUE(DE25),""),IFERROR(VALUE(DM25),"")),"")</f>
        <v>0.75175</v>
      </c>
      <c r="EQ25" s="35">
        <f t="shared" si="113"/>
        <v>0.89225</v>
      </c>
      <c r="ER25" s="269">
        <f t="shared" ref="ER25:ES25" si="114">IFERROR(AVERAGE(IFERROR(VALUE(CU25),""),IFERROR(VALUE(DB25),""),IFERROR(VALUE(DI25),""),IFERROR(VALUE(DO25),"")),"")</f>
        <v>0.40075</v>
      </c>
      <c r="ES25" s="270">
        <f t="shared" si="114"/>
        <v>0.2435</v>
      </c>
      <c r="ET25" s="271">
        <f t="shared" ref="ET25:EU25" si="115">IFERROR(AVERAGE(IFERROR(VALUE(CS25),""),IFERROR(VALUE(CZ25),""),IFERROR(VALUE(DG25),"")),"")</f>
        <v>0.5676666667</v>
      </c>
      <c r="EU25" s="272">
        <f t="shared" si="115"/>
        <v>0.1313333333</v>
      </c>
      <c r="EV25" s="51">
        <v>0.627</v>
      </c>
      <c r="EW25" s="51">
        <v>0.143</v>
      </c>
    </row>
    <row r="26">
      <c r="A26" s="52"/>
      <c r="B26" s="53" t="s">
        <v>598</v>
      </c>
      <c r="C26" s="25">
        <v>0.873</v>
      </c>
      <c r="D26" s="26" t="s">
        <v>77</v>
      </c>
      <c r="E26" s="26" t="s">
        <v>330</v>
      </c>
      <c r="F26" s="26" t="s">
        <v>587</v>
      </c>
      <c r="G26" s="26" t="s">
        <v>120</v>
      </c>
      <c r="H26" s="26">
        <v>0.326</v>
      </c>
      <c r="I26" s="26" t="s">
        <v>599</v>
      </c>
      <c r="J26" s="26" t="s">
        <v>459</v>
      </c>
      <c r="K26" s="26" t="s">
        <v>600</v>
      </c>
      <c r="L26" s="26" t="s">
        <v>266</v>
      </c>
      <c r="M26" s="26">
        <v>0.791</v>
      </c>
      <c r="N26" s="26" t="s">
        <v>176</v>
      </c>
      <c r="O26" s="26" t="s">
        <v>222</v>
      </c>
      <c r="P26" s="26" t="s">
        <v>601</v>
      </c>
      <c r="Q26" s="26" t="s">
        <v>602</v>
      </c>
      <c r="R26" s="26">
        <v>0.655</v>
      </c>
      <c r="S26" s="26" t="s">
        <v>282</v>
      </c>
      <c r="T26" s="26" t="s">
        <v>138</v>
      </c>
      <c r="U26" s="26" t="s">
        <v>603</v>
      </c>
      <c r="V26" s="26" t="s">
        <v>604</v>
      </c>
      <c r="W26" s="26">
        <v>0.755</v>
      </c>
      <c r="X26" s="26" t="s">
        <v>271</v>
      </c>
      <c r="Y26" s="26" t="s">
        <v>601</v>
      </c>
      <c r="Z26" s="26" t="s">
        <v>605</v>
      </c>
      <c r="AA26" s="26" t="s">
        <v>606</v>
      </c>
      <c r="AB26" s="26">
        <v>0.853</v>
      </c>
      <c r="AC26" s="26" t="s">
        <v>358</v>
      </c>
      <c r="AD26" s="26" t="s">
        <v>440</v>
      </c>
      <c r="AE26" s="26" t="s">
        <v>607</v>
      </c>
      <c r="AF26" s="27" t="s">
        <v>608</v>
      </c>
      <c r="AG26" s="26">
        <v>0.475</v>
      </c>
      <c r="AH26" s="26" t="s">
        <v>609</v>
      </c>
      <c r="AI26" s="26" t="s">
        <v>610</v>
      </c>
      <c r="AJ26" s="26">
        <v>0.103</v>
      </c>
      <c r="AK26" s="26" t="s">
        <v>186</v>
      </c>
      <c r="AL26" s="26" t="s">
        <v>611</v>
      </c>
      <c r="AM26" s="26">
        <v>0.569</v>
      </c>
      <c r="AN26" s="26" t="s">
        <v>427</v>
      </c>
      <c r="AO26" s="26" t="s">
        <v>289</v>
      </c>
      <c r="AP26" s="26">
        <v>0.155</v>
      </c>
      <c r="AQ26" s="26" t="s">
        <v>128</v>
      </c>
      <c r="AR26" s="26" t="s">
        <v>607</v>
      </c>
      <c r="AS26" s="26">
        <v>0.275</v>
      </c>
      <c r="AT26" s="26" t="s">
        <v>490</v>
      </c>
      <c r="AU26" s="26" t="s">
        <v>58</v>
      </c>
      <c r="AV26" s="28">
        <v>0.188</v>
      </c>
      <c r="AW26" s="26" t="s">
        <v>62</v>
      </c>
      <c r="AX26" s="26" t="s">
        <v>144</v>
      </c>
      <c r="AY26" s="29">
        <v>0.065</v>
      </c>
      <c r="AZ26" s="26" t="s">
        <v>94</v>
      </c>
      <c r="BA26" s="26" t="s">
        <v>145</v>
      </c>
      <c r="BB26" s="29">
        <v>0.113</v>
      </c>
      <c r="BC26" s="26" t="s">
        <v>146</v>
      </c>
      <c r="BD26" s="26" t="s">
        <v>147</v>
      </c>
      <c r="BE26" s="29">
        <v>0.303</v>
      </c>
      <c r="BF26" s="26" t="s">
        <v>148</v>
      </c>
      <c r="BG26" s="26" t="s">
        <v>128</v>
      </c>
      <c r="BH26" s="29">
        <v>0.185</v>
      </c>
      <c r="BI26" s="26" t="s">
        <v>149</v>
      </c>
      <c r="BJ26" s="26" t="s">
        <v>150</v>
      </c>
      <c r="BK26" s="29">
        <v>0.158</v>
      </c>
      <c r="BL26" s="30">
        <v>0.734</v>
      </c>
      <c r="BM26" s="30">
        <v>0.813</v>
      </c>
      <c r="BN26" s="29">
        <v>0.147</v>
      </c>
      <c r="BO26" s="30">
        <v>0.708</v>
      </c>
      <c r="BP26" s="30">
        <v>0.842</v>
      </c>
      <c r="BQ26" s="26"/>
      <c r="BR26" s="26"/>
      <c r="BS26" s="27"/>
      <c r="BT26" s="26">
        <v>0.792</v>
      </c>
      <c r="BU26" s="26" t="s">
        <v>214</v>
      </c>
      <c r="BV26" s="26" t="s">
        <v>335</v>
      </c>
      <c r="BW26" s="26" t="s">
        <v>612</v>
      </c>
      <c r="BX26" s="26" t="s">
        <v>387</v>
      </c>
      <c r="BY26" s="26">
        <v>0.815</v>
      </c>
      <c r="BZ26" s="26" t="s">
        <v>233</v>
      </c>
      <c r="CA26" s="26" t="s">
        <v>286</v>
      </c>
      <c r="CB26" s="26" t="s">
        <v>613</v>
      </c>
      <c r="CC26" s="26" t="s">
        <v>614</v>
      </c>
      <c r="CD26" s="26" t="s">
        <v>615</v>
      </c>
      <c r="CE26" s="26" t="s">
        <v>612</v>
      </c>
      <c r="CF26" s="26" t="s">
        <v>616</v>
      </c>
      <c r="CG26" s="26" t="s">
        <v>314</v>
      </c>
      <c r="CH26" s="4">
        <v>0.9836400818</v>
      </c>
      <c r="CI26" s="4">
        <v>0.977131647</v>
      </c>
      <c r="CJ26" s="4">
        <v>0.9905419223</v>
      </c>
      <c r="CK26" s="4">
        <v>0.846962331</v>
      </c>
      <c r="CL26" s="4">
        <v>0.6351495797</v>
      </c>
      <c r="CM26" s="144">
        <v>0.646</v>
      </c>
      <c r="CN26" s="144">
        <v>0.687</v>
      </c>
      <c r="CO26" s="144">
        <v>0.321</v>
      </c>
      <c r="CP26" s="144">
        <v>0.099</v>
      </c>
      <c r="CQ26" s="145">
        <v>0.651</v>
      </c>
      <c r="CR26" s="4">
        <v>0.905</v>
      </c>
      <c r="CS26" s="4">
        <v>0.547</v>
      </c>
      <c r="CT26" s="4">
        <v>0.133</v>
      </c>
      <c r="CU26" s="4">
        <v>0.28</v>
      </c>
      <c r="CV26" s="4">
        <v>0.091</v>
      </c>
      <c r="CW26" s="4">
        <v>0.2</v>
      </c>
      <c r="CX26" s="4">
        <v>0.929</v>
      </c>
      <c r="CY26" s="4">
        <v>0.958</v>
      </c>
      <c r="CZ26" s="4">
        <v>0.575</v>
      </c>
      <c r="DA26" s="4">
        <v>0.12</v>
      </c>
      <c r="DB26" s="4">
        <v>0.821</v>
      </c>
      <c r="DC26" s="4">
        <v>0.635</v>
      </c>
      <c r="DD26" s="4">
        <v>0.152</v>
      </c>
      <c r="DE26" s="4">
        <v>0.701</v>
      </c>
      <c r="DF26" s="4">
        <v>0.85</v>
      </c>
      <c r="DG26" s="4">
        <v>0.487</v>
      </c>
      <c r="DH26" s="4">
        <v>0.1</v>
      </c>
      <c r="DI26" s="4">
        <v>0.32</v>
      </c>
      <c r="DJ26" s="4">
        <v>0.18</v>
      </c>
      <c r="DK26" s="4">
        <v>0.109</v>
      </c>
      <c r="DL26" s="4">
        <v>0.929</v>
      </c>
      <c r="DM26" s="4" t="s">
        <v>247</v>
      </c>
      <c r="DN26" s="4" t="s">
        <v>360</v>
      </c>
      <c r="DO26" s="4" t="s">
        <v>617</v>
      </c>
      <c r="DP26" s="238" t="s">
        <v>618</v>
      </c>
      <c r="DQ26" s="352">
        <v>0.234</v>
      </c>
      <c r="DR26" s="352">
        <v>0.659</v>
      </c>
      <c r="DS26" s="352">
        <v>0.845</v>
      </c>
      <c r="DT26" s="352">
        <v>0.223</v>
      </c>
      <c r="DU26" s="352">
        <v>0.082</v>
      </c>
      <c r="DZ26" s="108">
        <f t="shared" ref="DZ26:ED26" si="116">IFERROR(AVERAGE(IFERROR(VALUE(C26),""),IFERROR(VALUE(H26),""),IFERROR(VALUE(M26),""),IFERROR(VALUE(R26),""),IFERROR(VALUE(W26),""),IFERROR(VALUE(AB26),"")),"")</f>
        <v>0.7088333333</v>
      </c>
      <c r="EA26" s="42">
        <f t="shared" si="116"/>
        <v>0.7036666667</v>
      </c>
      <c r="EB26" s="273">
        <f t="shared" si="116"/>
        <v>0.5566666667</v>
      </c>
      <c r="EC26" s="274">
        <f t="shared" si="116"/>
        <v>0.4478333333</v>
      </c>
      <c r="ED26" s="275">
        <f t="shared" si="116"/>
        <v>0.1641666667</v>
      </c>
      <c r="EE26" s="73">
        <f t="shared" ref="EE26:EG26" si="117">IFERROR(AVERAGE(IFERROR(VALUE(AG26),""),IFERROR(VALUE(AJ26),""),IFERROR(VALUE(AM26),""),IFERROR(VALUE(AP26),""),IFERROR(VALUE(AS26),"")),"")</f>
        <v>0.3154</v>
      </c>
      <c r="EF26" s="276">
        <f t="shared" si="117"/>
        <v>0.6938</v>
      </c>
      <c r="EG26" s="277">
        <f t="shared" si="117"/>
        <v>0.6584</v>
      </c>
      <c r="EH26" s="278">
        <v>0.677</v>
      </c>
      <c r="EI26" s="279">
        <v>0.81</v>
      </c>
      <c r="EJ26" s="280">
        <f t="shared" si="91"/>
        <v>0.8635466939</v>
      </c>
      <c r="EK26" s="92">
        <f t="shared" si="92"/>
        <v>0.7880329118</v>
      </c>
      <c r="EL26" s="170">
        <f t="shared" si="93"/>
        <v>0.7718854806</v>
      </c>
      <c r="EM26" s="55">
        <f t="shared" si="94"/>
        <v>0.5124905828</v>
      </c>
      <c r="EN26" s="281">
        <f t="shared" si="95"/>
        <v>0.2997873949</v>
      </c>
      <c r="EO26" s="33">
        <v>0.929</v>
      </c>
      <c r="EP26" s="34">
        <f t="shared" ref="EP26:EQ26" si="118">IFERROR(AVERAGE(IFERROR(VALUE(CQ26),""),IFERROR(VALUE(CX26),""),IFERROR(VALUE(DE26),""),IFERROR(VALUE(DM26),"")),"")</f>
        <v>0.77925</v>
      </c>
      <c r="EQ26" s="282">
        <f t="shared" si="118"/>
        <v>0.9185</v>
      </c>
      <c r="ER26" s="42">
        <f t="shared" ref="ER26:ES26" si="119">IFERROR(AVERAGE(IFERROR(VALUE(CU26),""),IFERROR(VALUE(DB26),""),IFERROR(VALUE(DI26),""),IFERROR(VALUE(DO26),"")),"")</f>
        <v>0.4875</v>
      </c>
      <c r="ES26" s="283">
        <f t="shared" si="119"/>
        <v>0.33825</v>
      </c>
      <c r="ET26" s="284">
        <f t="shared" ref="ET26:EU26" si="120">IFERROR(AVERAGE(IFERROR(VALUE(CS26),""),IFERROR(VALUE(CZ26),""),IFERROR(VALUE(DG26),"")),"")</f>
        <v>0.5363333333</v>
      </c>
      <c r="EU26" s="285">
        <f t="shared" si="120"/>
        <v>0.1176666667</v>
      </c>
      <c r="EV26" s="51">
        <v>0.611</v>
      </c>
      <c r="EW26" s="51">
        <v>0.166</v>
      </c>
    </row>
    <row r="27">
      <c r="A27" s="52"/>
      <c r="B27" s="142" t="s">
        <v>619</v>
      </c>
      <c r="C27" s="25">
        <v>0.935</v>
      </c>
      <c r="D27" s="26" t="s">
        <v>620</v>
      </c>
      <c r="E27" s="26" t="s">
        <v>621</v>
      </c>
      <c r="F27" s="26" t="s">
        <v>441</v>
      </c>
      <c r="G27" s="26" t="s">
        <v>544</v>
      </c>
      <c r="H27" s="26">
        <v>0.798</v>
      </c>
      <c r="I27" s="26" t="s">
        <v>302</v>
      </c>
      <c r="J27" s="26" t="s">
        <v>591</v>
      </c>
      <c r="K27" s="26" t="s">
        <v>622</v>
      </c>
      <c r="L27" s="26" t="s">
        <v>623</v>
      </c>
      <c r="M27" s="26">
        <v>0.775</v>
      </c>
      <c r="N27" s="26" t="s">
        <v>62</v>
      </c>
      <c r="O27" s="26" t="s">
        <v>624</v>
      </c>
      <c r="P27" s="26" t="s">
        <v>625</v>
      </c>
      <c r="Q27" s="26" t="s">
        <v>626</v>
      </c>
      <c r="R27" s="26">
        <v>0.696</v>
      </c>
      <c r="S27" s="26" t="s">
        <v>627</v>
      </c>
      <c r="T27" s="26" t="s">
        <v>628</v>
      </c>
      <c r="U27" s="26" t="s">
        <v>629</v>
      </c>
      <c r="V27" s="26" t="s">
        <v>480</v>
      </c>
      <c r="W27" s="26">
        <v>0.942</v>
      </c>
      <c r="X27" s="26" t="s">
        <v>524</v>
      </c>
      <c r="Y27" s="26" t="s">
        <v>439</v>
      </c>
      <c r="Z27" s="26" t="s">
        <v>364</v>
      </c>
      <c r="AA27" s="26" t="s">
        <v>561</v>
      </c>
      <c r="AB27" s="26">
        <v>0.897</v>
      </c>
      <c r="AC27" s="26" t="s">
        <v>630</v>
      </c>
      <c r="AD27" s="26" t="s">
        <v>254</v>
      </c>
      <c r="AE27" s="26" t="s">
        <v>631</v>
      </c>
      <c r="AF27" s="27" t="s">
        <v>100</v>
      </c>
      <c r="AG27" s="26">
        <v>0.555</v>
      </c>
      <c r="AH27" s="26" t="s">
        <v>200</v>
      </c>
      <c r="AI27" s="26" t="s">
        <v>632</v>
      </c>
      <c r="AJ27" s="26">
        <v>0.109</v>
      </c>
      <c r="AK27" s="26" t="s">
        <v>556</v>
      </c>
      <c r="AL27" s="26" t="s">
        <v>633</v>
      </c>
      <c r="AM27" s="26">
        <v>0.536</v>
      </c>
      <c r="AN27" s="26" t="s">
        <v>159</v>
      </c>
      <c r="AO27" s="26" t="s">
        <v>634</v>
      </c>
      <c r="AP27" s="26">
        <v>0.303</v>
      </c>
      <c r="AQ27" s="26" t="s">
        <v>262</v>
      </c>
      <c r="AR27" s="26" t="s">
        <v>208</v>
      </c>
      <c r="AS27" s="26">
        <v>0.448</v>
      </c>
      <c r="AT27" s="26" t="s">
        <v>141</v>
      </c>
      <c r="AU27" s="26" t="s">
        <v>361</v>
      </c>
      <c r="AV27" s="28">
        <v>0.304</v>
      </c>
      <c r="AW27" s="26" t="s">
        <v>154</v>
      </c>
      <c r="AX27" s="26" t="s">
        <v>635</v>
      </c>
      <c r="AY27" s="29">
        <v>0.15</v>
      </c>
      <c r="AZ27" s="26" t="s">
        <v>569</v>
      </c>
      <c r="BA27" s="26" t="s">
        <v>91</v>
      </c>
      <c r="BB27" s="29">
        <v>0.279</v>
      </c>
      <c r="BC27" s="26" t="s">
        <v>247</v>
      </c>
      <c r="BD27" s="26" t="s">
        <v>366</v>
      </c>
      <c r="BE27" s="29">
        <v>0.496</v>
      </c>
      <c r="BF27" s="26" t="s">
        <v>513</v>
      </c>
      <c r="BG27" s="26" t="s">
        <v>636</v>
      </c>
      <c r="BH27" s="29">
        <v>0.349</v>
      </c>
      <c r="BI27" s="26" t="s">
        <v>137</v>
      </c>
      <c r="BJ27" s="26" t="s">
        <v>370</v>
      </c>
      <c r="BK27" s="29">
        <v>0.213</v>
      </c>
      <c r="BL27" s="30">
        <v>0.781</v>
      </c>
      <c r="BM27" s="30">
        <v>0.855</v>
      </c>
      <c r="BN27" s="29">
        <v>0.226</v>
      </c>
      <c r="BO27" s="30">
        <v>0.766</v>
      </c>
      <c r="BP27" s="30">
        <v>0.857</v>
      </c>
      <c r="BQ27" s="26"/>
      <c r="BR27" s="26"/>
      <c r="BS27" s="27"/>
      <c r="BT27" s="26">
        <v>0.839</v>
      </c>
      <c r="BU27" s="26" t="s">
        <v>205</v>
      </c>
      <c r="BV27" s="26" t="s">
        <v>401</v>
      </c>
      <c r="BW27" s="26" t="s">
        <v>159</v>
      </c>
      <c r="BX27" s="26" t="s">
        <v>72</v>
      </c>
      <c r="BY27" s="26">
        <v>0.892</v>
      </c>
      <c r="BZ27" s="26" t="s">
        <v>637</v>
      </c>
      <c r="CA27" s="26" t="s">
        <v>382</v>
      </c>
      <c r="CB27" s="26" t="s">
        <v>638</v>
      </c>
      <c r="CC27" s="26" t="s">
        <v>639</v>
      </c>
      <c r="CD27" s="26" t="s">
        <v>301</v>
      </c>
      <c r="CE27" s="26" t="s">
        <v>436</v>
      </c>
      <c r="CF27" s="26" t="s">
        <v>193</v>
      </c>
      <c r="CG27" s="26" t="s">
        <v>640</v>
      </c>
      <c r="CH27" s="4">
        <v>0.9539877301</v>
      </c>
      <c r="CI27" s="4">
        <v>0.8795869244</v>
      </c>
      <c r="CJ27" s="4">
        <v>0.9289366053</v>
      </c>
      <c r="CK27" s="4">
        <v>0.6753032505</v>
      </c>
      <c r="CL27" s="4">
        <v>0.3941974477</v>
      </c>
      <c r="CM27" s="144">
        <v>0.735</v>
      </c>
      <c r="CN27" s="402">
        <v>0.783</v>
      </c>
      <c r="CO27" s="144">
        <v>0.448</v>
      </c>
      <c r="CP27" s="402">
        <v>0.181</v>
      </c>
      <c r="CQ27" s="145">
        <v>0.802</v>
      </c>
      <c r="CR27" s="4">
        <v>0.955</v>
      </c>
      <c r="CS27" s="4">
        <v>0.558</v>
      </c>
      <c r="CT27" s="4">
        <v>0.145</v>
      </c>
      <c r="CU27" s="4">
        <v>0.675</v>
      </c>
      <c r="CV27" s="4">
        <v>0.444</v>
      </c>
      <c r="CW27" s="4">
        <v>0.235</v>
      </c>
      <c r="CX27" s="4">
        <v>0.954</v>
      </c>
      <c r="CY27" s="4">
        <v>0.988</v>
      </c>
      <c r="CZ27" s="4">
        <v>0.722</v>
      </c>
      <c r="DA27" s="4">
        <v>0.375</v>
      </c>
      <c r="DB27" s="4">
        <v>0.922</v>
      </c>
      <c r="DC27" s="4">
        <v>0.838</v>
      </c>
      <c r="DD27" s="4">
        <v>0.339</v>
      </c>
      <c r="DE27" s="4">
        <v>0.634</v>
      </c>
      <c r="DF27" s="4">
        <v>0.815</v>
      </c>
      <c r="DG27" s="4">
        <v>0.57</v>
      </c>
      <c r="DH27" s="4">
        <v>0.434</v>
      </c>
      <c r="DI27" s="4">
        <v>0.23</v>
      </c>
      <c r="DJ27" s="4">
        <v>0.082</v>
      </c>
      <c r="DK27" s="4">
        <v>0.39</v>
      </c>
      <c r="DL27" s="4">
        <v>0.972</v>
      </c>
      <c r="DM27" s="4" t="s">
        <v>641</v>
      </c>
      <c r="DN27" s="4" t="s">
        <v>163</v>
      </c>
      <c r="DO27" s="4" t="s">
        <v>642</v>
      </c>
      <c r="DP27" s="238" t="s">
        <v>70</v>
      </c>
      <c r="DQ27" s="352">
        <v>0.515</v>
      </c>
      <c r="DR27" s="352">
        <v>0.673</v>
      </c>
      <c r="DS27" s="352">
        <v>0.835</v>
      </c>
      <c r="DT27" s="352">
        <v>0.257</v>
      </c>
      <c r="DU27" s="352">
        <v>0.111</v>
      </c>
      <c r="DZ27" s="286">
        <f t="shared" ref="DZ27:ED27" si="121">IFERROR(AVERAGE(IFERROR(VALUE(C27),""),IFERROR(VALUE(H27),""),IFERROR(VALUE(M27),""),IFERROR(VALUE(R27),""),IFERROR(VALUE(W27),""),IFERROR(VALUE(AB27),"")),"")</f>
        <v>0.8405</v>
      </c>
      <c r="EA27" s="287">
        <f t="shared" si="121"/>
        <v>0.811</v>
      </c>
      <c r="EB27" s="288">
        <f t="shared" si="121"/>
        <v>0.738</v>
      </c>
      <c r="EC27" s="289">
        <f t="shared" si="121"/>
        <v>0.5943333333</v>
      </c>
      <c r="ED27" s="290">
        <f t="shared" si="121"/>
        <v>0.3426666667</v>
      </c>
      <c r="EE27" s="291">
        <f t="shared" ref="EE27:EG27" si="122">IFERROR(AVERAGE(IFERROR(VALUE(AG27),""),IFERROR(VALUE(AJ27),""),IFERROR(VALUE(AM27),""),IFERROR(VALUE(AP27),""),IFERROR(VALUE(AS27),"")),"")</f>
        <v>0.3902</v>
      </c>
      <c r="EF27" s="271">
        <f t="shared" si="122"/>
        <v>0.7194</v>
      </c>
      <c r="EG27" s="292">
        <f t="shared" si="122"/>
        <v>0.6318</v>
      </c>
      <c r="EH27" s="68">
        <v>0.726</v>
      </c>
      <c r="EI27" s="37">
        <v>0.849</v>
      </c>
      <c r="EJ27" s="293">
        <f t="shared" si="91"/>
        <v>0.89499591</v>
      </c>
      <c r="EK27" s="294">
        <f t="shared" si="92"/>
        <v>0.7886467311</v>
      </c>
      <c r="EL27" s="295">
        <f t="shared" si="93"/>
        <v>0.7922341513</v>
      </c>
      <c r="EM27" s="296">
        <f t="shared" si="94"/>
        <v>0.5160758126</v>
      </c>
      <c r="EN27" s="57">
        <f t="shared" si="95"/>
        <v>0.2737993619</v>
      </c>
      <c r="EO27" s="297">
        <v>0.972</v>
      </c>
      <c r="EP27" s="254">
        <f t="shared" ref="EP27:EQ27" si="123">IFERROR(AVERAGE(IFERROR(VALUE(CQ27),""),IFERROR(VALUE(CX27),""),IFERROR(VALUE(DE27),""),IFERROR(VALUE(DM27),"")),"")</f>
        <v>0.81575</v>
      </c>
      <c r="EQ27" s="229">
        <f t="shared" si="123"/>
        <v>0.92225</v>
      </c>
      <c r="ER27" s="298">
        <f t="shared" ref="ER27:ES27" si="124">IFERROR(AVERAGE(IFERROR(VALUE(CU27),""),IFERROR(VALUE(DB27),""),IFERROR(VALUE(DI27),""),IFERROR(VALUE(DO27),"")),"")</f>
        <v>0.62875</v>
      </c>
      <c r="ES27" s="299">
        <f t="shared" si="124"/>
        <v>0.50275</v>
      </c>
      <c r="ET27" s="231">
        <f t="shared" ref="ET27:EU27" si="125">IFERROR(AVERAGE(IFERROR(VALUE(CS27),""),IFERROR(VALUE(CZ27),""),IFERROR(VALUE(DG27),"")),"")</f>
        <v>0.6166666667</v>
      </c>
      <c r="EU27" s="300">
        <f t="shared" si="125"/>
        <v>0.318</v>
      </c>
      <c r="EV27" s="51">
        <v>0.682</v>
      </c>
      <c r="EW27" s="51">
        <v>0.288</v>
      </c>
    </row>
    <row r="28">
      <c r="A28" s="52"/>
      <c r="B28" s="142" t="s">
        <v>643</v>
      </c>
      <c r="C28" s="25">
        <v>0.914</v>
      </c>
      <c r="D28" s="26" t="s">
        <v>644</v>
      </c>
      <c r="E28" s="26" t="s">
        <v>645</v>
      </c>
      <c r="F28" s="26" t="s">
        <v>646</v>
      </c>
      <c r="G28" s="26" t="s">
        <v>404</v>
      </c>
      <c r="H28" s="26">
        <v>0.789</v>
      </c>
      <c r="I28" s="26" t="s">
        <v>163</v>
      </c>
      <c r="J28" s="26" t="s">
        <v>231</v>
      </c>
      <c r="K28" s="26" t="s">
        <v>204</v>
      </c>
      <c r="L28" s="26" t="s">
        <v>498</v>
      </c>
      <c r="M28" s="26">
        <v>0.789</v>
      </c>
      <c r="N28" s="26" t="s">
        <v>123</v>
      </c>
      <c r="O28" s="26" t="s">
        <v>647</v>
      </c>
      <c r="P28" s="26" t="s">
        <v>351</v>
      </c>
      <c r="Q28" s="26" t="s">
        <v>217</v>
      </c>
      <c r="R28" s="26">
        <v>0.681</v>
      </c>
      <c r="S28" s="26" t="s">
        <v>88</v>
      </c>
      <c r="T28" s="26" t="s">
        <v>648</v>
      </c>
      <c r="U28" s="26" t="s">
        <v>157</v>
      </c>
      <c r="V28" s="26" t="s">
        <v>649</v>
      </c>
      <c r="W28" s="26">
        <v>0.906</v>
      </c>
      <c r="X28" s="26" t="s">
        <v>524</v>
      </c>
      <c r="Y28" s="26" t="s">
        <v>483</v>
      </c>
      <c r="Z28" s="26" t="s">
        <v>364</v>
      </c>
      <c r="AA28" s="26" t="s">
        <v>597</v>
      </c>
      <c r="AB28" s="26">
        <v>0.912</v>
      </c>
      <c r="AC28" s="26" t="s">
        <v>215</v>
      </c>
      <c r="AD28" s="26" t="s">
        <v>650</v>
      </c>
      <c r="AE28" s="26" t="s">
        <v>495</v>
      </c>
      <c r="AF28" s="27" t="s">
        <v>260</v>
      </c>
      <c r="AG28" s="26">
        <v>0.566</v>
      </c>
      <c r="AH28" s="26" t="s">
        <v>651</v>
      </c>
      <c r="AI28" s="26" t="s">
        <v>652</v>
      </c>
      <c r="AJ28" s="26">
        <v>0.118</v>
      </c>
      <c r="AK28" s="26" t="s">
        <v>479</v>
      </c>
      <c r="AL28" s="26" t="s">
        <v>653</v>
      </c>
      <c r="AM28" s="26">
        <v>0.527</v>
      </c>
      <c r="AN28" s="26" t="s">
        <v>564</v>
      </c>
      <c r="AO28" s="26" t="s">
        <v>255</v>
      </c>
      <c r="AP28" s="26">
        <v>0.366</v>
      </c>
      <c r="AQ28" s="26" t="s">
        <v>637</v>
      </c>
      <c r="AR28" s="26" t="s">
        <v>233</v>
      </c>
      <c r="AS28" s="26">
        <v>0.465</v>
      </c>
      <c r="AT28" s="26" t="s">
        <v>654</v>
      </c>
      <c r="AU28" s="26" t="s">
        <v>324</v>
      </c>
      <c r="AV28" s="28">
        <v>0.322</v>
      </c>
      <c r="AW28" s="26" t="s">
        <v>135</v>
      </c>
      <c r="AX28" s="26" t="s">
        <v>635</v>
      </c>
      <c r="AY28" s="29">
        <v>0.152</v>
      </c>
      <c r="AZ28" s="26" t="s">
        <v>282</v>
      </c>
      <c r="BA28" s="26" t="s">
        <v>492</v>
      </c>
      <c r="BB28" s="29">
        <v>0.257</v>
      </c>
      <c r="BC28" s="26" t="s">
        <v>391</v>
      </c>
      <c r="BD28" s="26" t="s">
        <v>140</v>
      </c>
      <c r="BE28" s="29">
        <v>0.493</v>
      </c>
      <c r="BF28" s="26" t="s">
        <v>513</v>
      </c>
      <c r="BG28" s="26" t="s">
        <v>396</v>
      </c>
      <c r="BH28" s="29">
        <v>0.404</v>
      </c>
      <c r="BI28" s="26" t="s">
        <v>164</v>
      </c>
      <c r="BJ28" s="26" t="s">
        <v>594</v>
      </c>
      <c r="BK28" s="29">
        <v>0.221</v>
      </c>
      <c r="BL28" s="30">
        <v>0.796</v>
      </c>
      <c r="BM28" s="30">
        <v>0.858</v>
      </c>
      <c r="BN28" s="29">
        <v>0.211</v>
      </c>
      <c r="BO28" s="29">
        <v>0.786</v>
      </c>
      <c r="BP28" s="29">
        <v>0.856</v>
      </c>
      <c r="BQ28" s="26"/>
      <c r="BR28" s="26"/>
      <c r="BS28" s="27"/>
      <c r="BT28" s="26">
        <v>0.834</v>
      </c>
      <c r="BU28" s="26" t="s">
        <v>162</v>
      </c>
      <c r="BV28" s="26" t="s">
        <v>242</v>
      </c>
      <c r="BW28" s="26" t="s">
        <v>548</v>
      </c>
      <c r="BX28" s="26" t="s">
        <v>623</v>
      </c>
      <c r="BY28" s="26">
        <v>0.894</v>
      </c>
      <c r="BZ28" s="26" t="s">
        <v>123</v>
      </c>
      <c r="CA28" s="26" t="s">
        <v>409</v>
      </c>
      <c r="CB28" s="26" t="s">
        <v>596</v>
      </c>
      <c r="CC28" s="26" t="s">
        <v>655</v>
      </c>
      <c r="CD28" s="26" t="s">
        <v>246</v>
      </c>
      <c r="CE28" s="26" t="s">
        <v>656</v>
      </c>
      <c r="CF28" s="26" t="s">
        <v>657</v>
      </c>
      <c r="CG28" s="26" t="s">
        <v>653</v>
      </c>
      <c r="CH28" s="4">
        <v>0.9440184049</v>
      </c>
      <c r="CI28" s="4">
        <v>0.8966524559</v>
      </c>
      <c r="CJ28" s="4">
        <v>0.9148773006</v>
      </c>
      <c r="CK28" s="4">
        <v>0.6807560083</v>
      </c>
      <c r="CL28" s="4">
        <v>0.3672806771</v>
      </c>
      <c r="CM28" s="144">
        <v>0.746</v>
      </c>
      <c r="CN28" s="144">
        <v>0.78</v>
      </c>
      <c r="CO28" s="402">
        <v>0.457</v>
      </c>
      <c r="CP28" s="144">
        <v>0.167</v>
      </c>
      <c r="CQ28" s="145">
        <v>0.811</v>
      </c>
      <c r="CR28" s="4">
        <v>0.93</v>
      </c>
      <c r="CS28" s="4">
        <v>0.574</v>
      </c>
      <c r="CT28" s="4">
        <v>0.191</v>
      </c>
      <c r="CU28" s="4">
        <v>0.701</v>
      </c>
      <c r="CV28" s="4">
        <v>0.505</v>
      </c>
      <c r="CW28" s="4">
        <v>0.225</v>
      </c>
      <c r="CX28" s="4">
        <v>0.954</v>
      </c>
      <c r="CY28" s="4">
        <v>0.995</v>
      </c>
      <c r="CZ28" s="4">
        <v>0.755</v>
      </c>
      <c r="DA28" s="4">
        <v>0.361</v>
      </c>
      <c r="DB28" s="4">
        <v>0.892</v>
      </c>
      <c r="DC28" s="4">
        <v>0.759</v>
      </c>
      <c r="DD28" s="4">
        <v>0.413</v>
      </c>
      <c r="DE28" s="4">
        <v>0.632</v>
      </c>
      <c r="DF28" s="4">
        <v>0.815</v>
      </c>
      <c r="DG28" s="4">
        <v>0.58</v>
      </c>
      <c r="DH28" s="4">
        <v>0.459</v>
      </c>
      <c r="DI28" s="4">
        <v>0.213</v>
      </c>
      <c r="DJ28" s="4">
        <v>0.076</v>
      </c>
      <c r="DK28" s="4">
        <v>0.428</v>
      </c>
      <c r="DL28" s="4">
        <v>0.977</v>
      </c>
      <c r="DM28" s="4" t="s">
        <v>286</v>
      </c>
      <c r="DN28" s="4" t="s">
        <v>134</v>
      </c>
      <c r="DO28" s="4" t="s">
        <v>350</v>
      </c>
      <c r="DP28" s="238" t="s">
        <v>658</v>
      </c>
      <c r="DQ28" s="352">
        <v>0.568</v>
      </c>
      <c r="DR28" s="352">
        <v>0.664</v>
      </c>
      <c r="DS28" s="352">
        <v>0.832</v>
      </c>
      <c r="DT28" s="352">
        <v>0.287</v>
      </c>
      <c r="DU28" s="352">
        <v>0.13</v>
      </c>
      <c r="DZ28" s="301">
        <f t="shared" ref="DZ28:ED28" si="126">IFERROR(AVERAGE(IFERROR(VALUE(C28),""),IFERROR(VALUE(H28),""),IFERROR(VALUE(M28),""),IFERROR(VALUE(R28),""),IFERROR(VALUE(W28),""),IFERROR(VALUE(AB28),"")),"")</f>
        <v>0.8318333333</v>
      </c>
      <c r="EA28" s="138">
        <f t="shared" si="126"/>
        <v>0.813</v>
      </c>
      <c r="EB28" s="138">
        <f t="shared" si="126"/>
        <v>0.7463333333</v>
      </c>
      <c r="EC28" s="302">
        <f t="shared" si="126"/>
        <v>0.6038333333</v>
      </c>
      <c r="ED28" s="303">
        <f t="shared" si="126"/>
        <v>0.3673333333</v>
      </c>
      <c r="EE28" s="65">
        <f t="shared" ref="EE28:EG28" si="127">IFERROR(AVERAGE(IFERROR(VALUE(AG28),""),IFERROR(VALUE(AJ28),""),IFERROR(VALUE(AM28),""),IFERROR(VALUE(AP28),""),IFERROR(VALUE(AS28),"")),"")</f>
        <v>0.4084</v>
      </c>
      <c r="EF28" s="138">
        <f t="shared" si="127"/>
        <v>0.7258</v>
      </c>
      <c r="EG28" s="304">
        <f t="shared" si="127"/>
        <v>0.6396</v>
      </c>
      <c r="EH28" s="138">
        <v>0.732</v>
      </c>
      <c r="EI28" s="305">
        <v>0.845</v>
      </c>
      <c r="EJ28" s="91">
        <f t="shared" si="91"/>
        <v>0.8906728016</v>
      </c>
      <c r="EK28" s="306">
        <f t="shared" si="92"/>
        <v>0.798163114</v>
      </c>
      <c r="EL28" s="45">
        <f t="shared" si="93"/>
        <v>0.7862193252</v>
      </c>
      <c r="EM28" s="124">
        <f t="shared" si="94"/>
        <v>0.5294390021</v>
      </c>
      <c r="EN28" s="113">
        <f t="shared" si="95"/>
        <v>0.2685701693</v>
      </c>
      <c r="EO28" s="307">
        <v>0.977</v>
      </c>
      <c r="EP28" s="308">
        <f t="shared" ref="EP28:EQ28" si="128">IFERROR(AVERAGE(IFERROR(VALUE(CQ28),""),IFERROR(VALUE(CX28),""),IFERROR(VALUE(DE28),""),IFERROR(VALUE(DM28),"")),"")</f>
        <v>0.81175</v>
      </c>
      <c r="EQ28" s="309">
        <f t="shared" si="128"/>
        <v>0.9195</v>
      </c>
      <c r="ER28" s="105">
        <f t="shared" ref="ER28:ES28" si="129">IFERROR(AVERAGE(IFERROR(VALUE(CU28),""),IFERROR(VALUE(DB28),""),IFERROR(VALUE(DI28),""),IFERROR(VALUE(DO28),"")),"")</f>
        <v>0.61675</v>
      </c>
      <c r="ES28" s="310">
        <f t="shared" si="129"/>
        <v>0.48475</v>
      </c>
      <c r="ET28" s="179">
        <f t="shared" ref="ET28:EU28" si="130">IFERROR(AVERAGE(IFERROR(VALUE(CS28),""),IFERROR(VALUE(CZ28),""),IFERROR(VALUE(DG28),"")),"")</f>
        <v>0.6363333333</v>
      </c>
      <c r="EU28" s="311">
        <f t="shared" si="130"/>
        <v>0.337</v>
      </c>
      <c r="EV28" s="51">
        <v>0.69</v>
      </c>
      <c r="EW28" s="51">
        <v>0.294</v>
      </c>
    </row>
    <row r="29">
      <c r="A29" s="52"/>
      <c r="B29" s="142" t="s">
        <v>659</v>
      </c>
      <c r="C29" s="25">
        <v>0.903</v>
      </c>
      <c r="D29" s="26" t="s">
        <v>75</v>
      </c>
      <c r="E29" s="26" t="s">
        <v>290</v>
      </c>
      <c r="F29" s="26" t="s">
        <v>301</v>
      </c>
      <c r="G29" s="26" t="s">
        <v>128</v>
      </c>
      <c r="H29" s="26">
        <v>0.818</v>
      </c>
      <c r="I29" s="26" t="s">
        <v>660</v>
      </c>
      <c r="J29" s="26" t="s">
        <v>219</v>
      </c>
      <c r="K29" s="26" t="s">
        <v>661</v>
      </c>
      <c r="L29" s="26" t="s">
        <v>319</v>
      </c>
      <c r="M29" s="26">
        <v>0.754</v>
      </c>
      <c r="N29" s="26" t="s">
        <v>368</v>
      </c>
      <c r="O29" s="26" t="s">
        <v>84</v>
      </c>
      <c r="P29" s="26" t="s">
        <v>662</v>
      </c>
      <c r="Q29" s="26" t="s">
        <v>157</v>
      </c>
      <c r="R29" s="26">
        <v>0.657</v>
      </c>
      <c r="S29" s="26" t="s">
        <v>284</v>
      </c>
      <c r="T29" s="26" t="s">
        <v>618</v>
      </c>
      <c r="U29" s="26" t="s">
        <v>663</v>
      </c>
      <c r="V29" s="26" t="s">
        <v>551</v>
      </c>
      <c r="W29" s="26">
        <v>0.871</v>
      </c>
      <c r="X29" s="26" t="s">
        <v>326</v>
      </c>
      <c r="Y29" s="26" t="s">
        <v>87</v>
      </c>
      <c r="Z29" s="26" t="s">
        <v>662</v>
      </c>
      <c r="AA29" s="26" t="s">
        <v>315</v>
      </c>
      <c r="AB29" s="26">
        <v>0.778</v>
      </c>
      <c r="AC29" s="26" t="s">
        <v>91</v>
      </c>
      <c r="AD29" s="26" t="s">
        <v>520</v>
      </c>
      <c r="AE29" s="26" t="s">
        <v>135</v>
      </c>
      <c r="AF29" s="27" t="s">
        <v>664</v>
      </c>
      <c r="AG29" s="26">
        <v>0.516</v>
      </c>
      <c r="AH29" s="26" t="s">
        <v>128</v>
      </c>
      <c r="AI29" s="26" t="s">
        <v>376</v>
      </c>
      <c r="AJ29" s="26">
        <v>0.099</v>
      </c>
      <c r="AK29" s="26" t="s">
        <v>330</v>
      </c>
      <c r="AL29" s="26" t="s">
        <v>592</v>
      </c>
      <c r="AM29" s="26">
        <v>0.546</v>
      </c>
      <c r="AN29" s="26" t="s">
        <v>582</v>
      </c>
      <c r="AO29" s="26" t="s">
        <v>546</v>
      </c>
      <c r="AP29" s="26">
        <v>0.19</v>
      </c>
      <c r="AQ29" s="26" t="s">
        <v>560</v>
      </c>
      <c r="AR29" s="26" t="s">
        <v>665</v>
      </c>
      <c r="AS29" s="26">
        <v>0.415</v>
      </c>
      <c r="AT29" s="26" t="s">
        <v>500</v>
      </c>
      <c r="AU29" s="26" t="s">
        <v>222</v>
      </c>
      <c r="AV29" s="28">
        <v>0.274</v>
      </c>
      <c r="AW29" s="26" t="s">
        <v>666</v>
      </c>
      <c r="AX29" s="26" t="s">
        <v>667</v>
      </c>
      <c r="AY29" s="29">
        <v>0.143</v>
      </c>
      <c r="AZ29" s="26" t="s">
        <v>656</v>
      </c>
      <c r="BA29" s="26" t="s">
        <v>668</v>
      </c>
      <c r="BB29" s="29">
        <v>0.224</v>
      </c>
      <c r="BC29" s="26" t="s">
        <v>132</v>
      </c>
      <c r="BD29" s="26" t="s">
        <v>236</v>
      </c>
      <c r="BE29" s="29">
        <v>0.436</v>
      </c>
      <c r="BF29" s="26" t="s">
        <v>80</v>
      </c>
      <c r="BG29" s="26" t="s">
        <v>455</v>
      </c>
      <c r="BH29" s="29">
        <v>0.283</v>
      </c>
      <c r="BI29" s="26" t="s">
        <v>95</v>
      </c>
      <c r="BJ29" s="26" t="s">
        <v>335</v>
      </c>
      <c r="BK29" s="29">
        <v>0.191</v>
      </c>
      <c r="BL29" s="29">
        <v>0.748</v>
      </c>
      <c r="BM29" s="29">
        <v>0.84</v>
      </c>
      <c r="BN29" s="29">
        <v>0.19</v>
      </c>
      <c r="BO29" s="29">
        <v>0.76</v>
      </c>
      <c r="BP29" s="29">
        <v>0.841</v>
      </c>
      <c r="BQ29" s="26"/>
      <c r="BR29" s="26"/>
      <c r="BS29" s="27"/>
      <c r="BT29" s="26">
        <v>0.923</v>
      </c>
      <c r="BU29" s="26" t="s">
        <v>615</v>
      </c>
      <c r="BV29" s="26" t="s">
        <v>594</v>
      </c>
      <c r="BW29" s="26" t="s">
        <v>386</v>
      </c>
      <c r="BX29" s="26" t="s">
        <v>496</v>
      </c>
      <c r="BY29" s="26">
        <v>0.943</v>
      </c>
      <c r="BZ29" s="26" t="s">
        <v>143</v>
      </c>
      <c r="CA29" s="26" t="s">
        <v>669</v>
      </c>
      <c r="CB29" s="26" t="s">
        <v>498</v>
      </c>
      <c r="CC29" s="26" t="s">
        <v>670</v>
      </c>
      <c r="CD29" s="26" t="s">
        <v>476</v>
      </c>
      <c r="CE29" s="26" t="s">
        <v>287</v>
      </c>
      <c r="CF29" s="26" t="s">
        <v>152</v>
      </c>
      <c r="CG29" s="26" t="s">
        <v>188</v>
      </c>
      <c r="CH29" s="4">
        <v>0.995398773</v>
      </c>
      <c r="CI29" s="4">
        <v>0.9890234858</v>
      </c>
      <c r="CJ29" s="4">
        <v>0.9961656442</v>
      </c>
      <c r="CK29" s="4">
        <v>0.9370619597</v>
      </c>
      <c r="CL29" s="4">
        <v>0.8036468401</v>
      </c>
      <c r="CM29" s="144">
        <v>0.716</v>
      </c>
      <c r="CN29" s="144">
        <v>0.727</v>
      </c>
      <c r="CO29" s="144">
        <v>0.402</v>
      </c>
      <c r="CP29" s="144">
        <v>0.127</v>
      </c>
      <c r="CQ29" s="145">
        <v>0.812</v>
      </c>
      <c r="CR29" s="4">
        <v>0.97</v>
      </c>
      <c r="CS29" s="4">
        <v>0.532</v>
      </c>
      <c r="CT29" s="4">
        <v>0.105</v>
      </c>
      <c r="CU29" s="4">
        <v>0.683</v>
      </c>
      <c r="CV29" s="4">
        <v>0.481</v>
      </c>
      <c r="CW29" s="4">
        <v>0.245</v>
      </c>
      <c r="CX29" s="4">
        <v>0.902</v>
      </c>
      <c r="CY29" s="4">
        <v>0.973</v>
      </c>
      <c r="CZ29" s="4">
        <v>0.702</v>
      </c>
      <c r="DA29" s="4">
        <v>0.356</v>
      </c>
      <c r="DB29" s="4">
        <v>0.809</v>
      </c>
      <c r="DC29" s="4">
        <v>0.682</v>
      </c>
      <c r="DD29" s="4">
        <v>0.474</v>
      </c>
      <c r="DE29" s="4">
        <v>0.641</v>
      </c>
      <c r="DF29" s="4">
        <v>0.815</v>
      </c>
      <c r="DG29" s="4">
        <v>0.572</v>
      </c>
      <c r="DH29" s="4">
        <v>0.341</v>
      </c>
      <c r="DI29" s="4">
        <v>0.252</v>
      </c>
      <c r="DJ29" s="4">
        <v>0.102</v>
      </c>
      <c r="DK29" s="4">
        <v>0.281</v>
      </c>
      <c r="DL29" s="4">
        <v>0.98</v>
      </c>
      <c r="DM29" s="4" t="s">
        <v>671</v>
      </c>
      <c r="DN29" s="4" t="s">
        <v>672</v>
      </c>
      <c r="DO29" s="4" t="s">
        <v>268</v>
      </c>
      <c r="DP29" s="238" t="s">
        <v>535</v>
      </c>
      <c r="DQ29" s="352">
        <v>0.475</v>
      </c>
      <c r="DR29" s="352">
        <v>0.664</v>
      </c>
      <c r="DS29" s="352">
        <v>0.785</v>
      </c>
      <c r="DT29" s="352">
        <v>0.32</v>
      </c>
      <c r="DU29" s="352">
        <v>0.132</v>
      </c>
      <c r="DZ29" s="312">
        <f t="shared" ref="DZ29:ED29" si="131">IFERROR(AVERAGE(IFERROR(VALUE(C29),""),IFERROR(VALUE(H29),""),IFERROR(VALUE(M29),""),IFERROR(VALUE(R29),""),IFERROR(VALUE(W29),""),IFERROR(VALUE(AB29),"")),"")</f>
        <v>0.7968333333</v>
      </c>
      <c r="EA29" s="313">
        <f t="shared" si="131"/>
        <v>0.792</v>
      </c>
      <c r="EB29" s="314">
        <f t="shared" si="131"/>
        <v>0.7073333333</v>
      </c>
      <c r="EC29" s="315">
        <f t="shared" si="131"/>
        <v>0.5621666667</v>
      </c>
      <c r="ED29" s="316">
        <f t="shared" si="131"/>
        <v>0.3266666667</v>
      </c>
      <c r="EE29" s="91">
        <f t="shared" ref="EE29:EG29" si="132">IFERROR(AVERAGE(IFERROR(VALUE(AG29),""),IFERROR(VALUE(AJ29),""),IFERROR(VALUE(AM29),""),IFERROR(VALUE(AP29),""),IFERROR(VALUE(AS29),"")),"")</f>
        <v>0.3532</v>
      </c>
      <c r="EF29" s="38">
        <f t="shared" si="132"/>
        <v>0.6868</v>
      </c>
      <c r="EG29" s="113">
        <f t="shared" si="132"/>
        <v>0.5934</v>
      </c>
      <c r="EH29" s="215">
        <v>0.705</v>
      </c>
      <c r="EI29" s="317">
        <v>0.825</v>
      </c>
      <c r="EJ29" s="318">
        <f t="shared" si="91"/>
        <v>0.953799591</v>
      </c>
      <c r="EK29" s="149">
        <f t="shared" si="92"/>
        <v>0.8062558715</v>
      </c>
      <c r="EL29" s="319">
        <f t="shared" si="93"/>
        <v>0.7907914111</v>
      </c>
      <c r="EM29" s="67">
        <f t="shared" si="94"/>
        <v>0.5650154899</v>
      </c>
      <c r="EN29" s="129">
        <f t="shared" si="95"/>
        <v>0.37416171</v>
      </c>
      <c r="EO29" s="320">
        <v>0.98</v>
      </c>
      <c r="EP29" s="321">
        <f t="shared" ref="EP29:EQ29" si="133">IFERROR(AVERAGE(IFERROR(VALUE(CQ29),""),IFERROR(VALUE(CX29),""),IFERROR(VALUE(DE29),""),IFERROR(VALUE(DM29),"")),"")</f>
        <v>0.80925</v>
      </c>
      <c r="EQ29" s="322">
        <f t="shared" si="133"/>
        <v>0.92625</v>
      </c>
      <c r="ER29" s="299">
        <f t="shared" ref="ER29:ES29" si="134">IFERROR(AVERAGE(IFERROR(VALUE(CU29),""),IFERROR(VALUE(DB29),""),IFERROR(VALUE(DI29),""),IFERROR(VALUE(DO29),"")),"")</f>
        <v>0.61775</v>
      </c>
      <c r="ES29" s="310">
        <f t="shared" si="134"/>
        <v>0.4855</v>
      </c>
      <c r="ET29" s="323">
        <f t="shared" ref="ET29:EU29" si="135">IFERROR(AVERAGE(IFERROR(VALUE(CS29),""),IFERROR(VALUE(CZ29),""),IFERROR(VALUE(DG29),"")),"")</f>
        <v>0.602</v>
      </c>
      <c r="EU29" s="173">
        <f t="shared" si="135"/>
        <v>0.2673333333</v>
      </c>
      <c r="EV29" s="51">
        <v>0.673</v>
      </c>
      <c r="EW29" s="51">
        <v>0.249</v>
      </c>
    </row>
    <row r="30">
      <c r="A30" s="166"/>
      <c r="B30" s="324" t="s">
        <v>673</v>
      </c>
      <c r="C30" s="325">
        <v>0.885</v>
      </c>
      <c r="D30" s="326" t="s">
        <v>395</v>
      </c>
      <c r="E30" s="326" t="s">
        <v>645</v>
      </c>
      <c r="F30" s="326" t="s">
        <v>140</v>
      </c>
      <c r="G30" s="326" t="s">
        <v>100</v>
      </c>
      <c r="H30" s="326">
        <v>0.755</v>
      </c>
      <c r="I30" s="326" t="s">
        <v>674</v>
      </c>
      <c r="J30" s="326" t="s">
        <v>236</v>
      </c>
      <c r="K30" s="326" t="s">
        <v>541</v>
      </c>
      <c r="L30" s="326" t="s">
        <v>675</v>
      </c>
      <c r="M30" s="326">
        <v>0.754</v>
      </c>
      <c r="N30" s="326" t="s">
        <v>195</v>
      </c>
      <c r="O30" s="326" t="s">
        <v>196</v>
      </c>
      <c r="P30" s="326" t="s">
        <v>676</v>
      </c>
      <c r="Q30" s="326" t="s">
        <v>677</v>
      </c>
      <c r="R30" s="326">
        <v>0.65</v>
      </c>
      <c r="S30" s="326" t="s">
        <v>124</v>
      </c>
      <c r="T30" s="326" t="s">
        <v>678</v>
      </c>
      <c r="U30" s="326" t="s">
        <v>381</v>
      </c>
      <c r="V30" s="326" t="s">
        <v>448</v>
      </c>
      <c r="W30" s="326">
        <v>0.863</v>
      </c>
      <c r="X30" s="326" t="s">
        <v>679</v>
      </c>
      <c r="Y30" s="326" t="s">
        <v>367</v>
      </c>
      <c r="Z30" s="326" t="s">
        <v>680</v>
      </c>
      <c r="AA30" s="326" t="s">
        <v>480</v>
      </c>
      <c r="AB30" s="326">
        <v>0.818</v>
      </c>
      <c r="AC30" s="326" t="s">
        <v>650</v>
      </c>
      <c r="AD30" s="326" t="s">
        <v>493</v>
      </c>
      <c r="AE30" s="326" t="s">
        <v>361</v>
      </c>
      <c r="AF30" s="327" t="s">
        <v>681</v>
      </c>
      <c r="AG30" s="326">
        <v>0.528</v>
      </c>
      <c r="AH30" s="326" t="s">
        <v>558</v>
      </c>
      <c r="AI30" s="326" t="s">
        <v>682</v>
      </c>
      <c r="AJ30" s="326">
        <v>0.099</v>
      </c>
      <c r="AK30" s="326" t="s">
        <v>463</v>
      </c>
      <c r="AL30" s="326" t="s">
        <v>683</v>
      </c>
      <c r="AM30" s="326">
        <v>0.536</v>
      </c>
      <c r="AN30" s="326" t="s">
        <v>587</v>
      </c>
      <c r="AO30" s="326" t="s">
        <v>138</v>
      </c>
      <c r="AP30" s="326">
        <v>0.17</v>
      </c>
      <c r="AQ30" s="326" t="s">
        <v>262</v>
      </c>
      <c r="AR30" s="326" t="s">
        <v>684</v>
      </c>
      <c r="AS30" s="326">
        <v>0.445</v>
      </c>
      <c r="AT30" s="326" t="s">
        <v>246</v>
      </c>
      <c r="AU30" s="326" t="s">
        <v>240</v>
      </c>
      <c r="AV30" s="328">
        <v>0.265</v>
      </c>
      <c r="AW30" s="326" t="s">
        <v>637</v>
      </c>
      <c r="AX30" s="326" t="s">
        <v>685</v>
      </c>
      <c r="AY30" s="329">
        <v>0.129</v>
      </c>
      <c r="AZ30" s="326" t="s">
        <v>686</v>
      </c>
      <c r="BA30" s="326" t="s">
        <v>687</v>
      </c>
      <c r="BB30" s="329">
        <v>0.219</v>
      </c>
      <c r="BC30" s="326" t="s">
        <v>471</v>
      </c>
      <c r="BD30" s="326" t="s">
        <v>135</v>
      </c>
      <c r="BE30" s="329">
        <v>0.452</v>
      </c>
      <c r="BF30" s="326" t="s">
        <v>154</v>
      </c>
      <c r="BG30" s="326" t="s">
        <v>688</v>
      </c>
      <c r="BH30" s="329">
        <v>0.328</v>
      </c>
      <c r="BI30" s="326" t="s">
        <v>311</v>
      </c>
      <c r="BJ30" s="326" t="s">
        <v>167</v>
      </c>
      <c r="BK30" s="329">
        <v>0.203</v>
      </c>
      <c r="BL30" s="329">
        <v>0.763</v>
      </c>
      <c r="BM30" s="329">
        <v>0.824</v>
      </c>
      <c r="BN30" s="329">
        <v>0.192</v>
      </c>
      <c r="BO30" s="329">
        <v>0.76</v>
      </c>
      <c r="BP30" s="329">
        <v>0.826</v>
      </c>
      <c r="BQ30" s="326"/>
      <c r="BR30" s="326"/>
      <c r="BS30" s="327"/>
      <c r="BT30" s="326">
        <v>0.883</v>
      </c>
      <c r="BU30" s="326" t="s">
        <v>132</v>
      </c>
      <c r="BV30" s="326" t="s">
        <v>309</v>
      </c>
      <c r="BW30" s="326" t="s">
        <v>363</v>
      </c>
      <c r="BX30" s="326" t="s">
        <v>689</v>
      </c>
      <c r="BY30" s="326">
        <v>0.879</v>
      </c>
      <c r="BZ30" s="326" t="s">
        <v>123</v>
      </c>
      <c r="CA30" s="326" t="s">
        <v>449</v>
      </c>
      <c r="CB30" s="326" t="s">
        <v>482</v>
      </c>
      <c r="CC30" s="326" t="s">
        <v>221</v>
      </c>
      <c r="CD30" s="326" t="s">
        <v>591</v>
      </c>
      <c r="CE30" s="326" t="s">
        <v>138</v>
      </c>
      <c r="CF30" s="326" t="s">
        <v>138</v>
      </c>
      <c r="CG30" s="326" t="s">
        <v>690</v>
      </c>
      <c r="CH30" s="412">
        <v>0.9905419223</v>
      </c>
      <c r="CI30" s="412">
        <v>0.9800828922</v>
      </c>
      <c r="CJ30" s="412">
        <v>0.9930981595</v>
      </c>
      <c r="CK30" s="412">
        <v>0.8984056943</v>
      </c>
      <c r="CL30" s="412">
        <v>0.7105403059</v>
      </c>
      <c r="CM30" s="413">
        <v>0.703</v>
      </c>
      <c r="CN30" s="413">
        <v>0.692</v>
      </c>
      <c r="CO30" s="413">
        <v>0.383</v>
      </c>
      <c r="CP30" s="413">
        <v>0.124</v>
      </c>
      <c r="CQ30" s="414">
        <v>0.764</v>
      </c>
      <c r="CR30" s="412">
        <v>0.94</v>
      </c>
      <c r="CS30" s="412">
        <v>0.509</v>
      </c>
      <c r="CT30" s="412">
        <v>0.117</v>
      </c>
      <c r="CU30" s="412">
        <v>0.443</v>
      </c>
      <c r="CV30" s="412">
        <v>0.189</v>
      </c>
      <c r="CW30" s="412">
        <v>0.195</v>
      </c>
      <c r="CX30" s="412">
        <v>0.911</v>
      </c>
      <c r="CY30" s="412">
        <v>0.943</v>
      </c>
      <c r="CZ30" s="412">
        <v>0.688</v>
      </c>
      <c r="DA30" s="412">
        <v>0.305</v>
      </c>
      <c r="DB30" s="412">
        <v>0.829</v>
      </c>
      <c r="DC30" s="412">
        <v>0.667</v>
      </c>
      <c r="DD30" s="412">
        <v>0.354</v>
      </c>
      <c r="DE30" s="412">
        <v>0.632</v>
      </c>
      <c r="DF30" s="412">
        <v>0.735</v>
      </c>
      <c r="DG30" s="412">
        <v>0.557</v>
      </c>
      <c r="DH30" s="412">
        <v>0.266</v>
      </c>
      <c r="DI30" s="412">
        <v>0.241</v>
      </c>
      <c r="DJ30" s="412">
        <v>0.086</v>
      </c>
      <c r="DK30" s="412">
        <v>0.326</v>
      </c>
      <c r="DL30" s="412">
        <v>0.949</v>
      </c>
      <c r="DM30" s="412" t="s">
        <v>691</v>
      </c>
      <c r="DN30" s="412" t="s">
        <v>141</v>
      </c>
      <c r="DO30" s="412" t="s">
        <v>67</v>
      </c>
      <c r="DP30" s="415" t="s">
        <v>472</v>
      </c>
      <c r="DQ30" s="352">
        <v>0.429</v>
      </c>
      <c r="DR30" s="352">
        <v>0.65</v>
      </c>
      <c r="DS30" s="352">
        <v>0.752</v>
      </c>
      <c r="DT30" s="352">
        <v>0.244</v>
      </c>
      <c r="DU30" s="352">
        <v>0.097</v>
      </c>
      <c r="DZ30" s="332">
        <f t="shared" ref="DZ30:ED30" si="136">IFERROR(AVERAGE(IFERROR(VALUE(C30),""),IFERROR(VALUE(H30),""),IFERROR(VALUE(M30),""),IFERROR(VALUE(R30),""),IFERROR(VALUE(W30),""),IFERROR(VALUE(AB30),"")),"")</f>
        <v>0.7875</v>
      </c>
      <c r="EA30" s="333">
        <f t="shared" si="136"/>
        <v>0.7905</v>
      </c>
      <c r="EB30" s="334">
        <f t="shared" si="136"/>
        <v>0.6926666667</v>
      </c>
      <c r="EC30" s="335">
        <f t="shared" si="136"/>
        <v>0.5361666667</v>
      </c>
      <c r="ED30" s="336">
        <f t="shared" si="136"/>
        <v>0.2746666667</v>
      </c>
      <c r="EE30" s="337">
        <f t="shared" ref="EE30:EG30" si="137">IFERROR(AVERAGE(IFERROR(VALUE(AG30),""),IFERROR(VALUE(AJ30),""),IFERROR(VALUE(AM30),""),IFERROR(VALUE(AP30),""),IFERROR(VALUE(AS30),"")),"")</f>
        <v>0.3556</v>
      </c>
      <c r="EF30" s="338">
        <f t="shared" si="137"/>
        <v>0.7042</v>
      </c>
      <c r="EG30" s="339">
        <f t="shared" si="137"/>
        <v>0.5528</v>
      </c>
      <c r="EH30" s="340">
        <v>0.706</v>
      </c>
      <c r="EI30" s="341">
        <v>0.803</v>
      </c>
      <c r="EJ30" s="342">
        <f t="shared" si="91"/>
        <v>0.9175139741</v>
      </c>
      <c r="EK30" s="254">
        <f t="shared" si="92"/>
        <v>0.7975207231</v>
      </c>
      <c r="EL30" s="83">
        <f t="shared" si="93"/>
        <v>0.7522745399</v>
      </c>
      <c r="EM30" s="343">
        <f t="shared" si="94"/>
        <v>0.5301014236</v>
      </c>
      <c r="EN30" s="344">
        <f t="shared" si="95"/>
        <v>0.3138850765</v>
      </c>
      <c r="EO30" s="345">
        <v>0.949</v>
      </c>
      <c r="EP30" s="346">
        <f t="shared" ref="EP30:EQ30" si="138">IFERROR(AVERAGE(IFERROR(VALUE(CQ30),""),IFERROR(VALUE(CX30),""),IFERROR(VALUE(DE30),""),IFERROR(VALUE(DM30),"")),"")</f>
        <v>0.7755</v>
      </c>
      <c r="EQ30" s="347">
        <f t="shared" si="138"/>
        <v>0.87875</v>
      </c>
      <c r="ER30" s="348">
        <f t="shared" ref="ER30:ES30" si="139">IFERROR(AVERAGE(IFERROR(VALUE(CU30),""),IFERROR(VALUE(DB30),""),IFERROR(VALUE(DI30),""),IFERROR(VALUE(DO30),"")),"")</f>
        <v>0.486</v>
      </c>
      <c r="ES30" s="349">
        <f t="shared" si="139"/>
        <v>0.3</v>
      </c>
      <c r="ET30" s="350">
        <f t="shared" ref="ET30:EU30" si="140">IFERROR(AVERAGE(IFERROR(VALUE(CS30),""),IFERROR(VALUE(CZ30),""),IFERROR(VALUE(DG30),"")),"")</f>
        <v>0.5846666667</v>
      </c>
      <c r="EU30" s="351">
        <f t="shared" si="140"/>
        <v>0.2293333333</v>
      </c>
      <c r="EV30" s="51">
        <v>0.637</v>
      </c>
      <c r="EW30" s="51">
        <v>0.255</v>
      </c>
    </row>
    <row r="31"/>
    <row r="32"/>
    <row r="33"/>
    <row r="34"/>
    <row r="35"/>
    <row r="36"/>
    <row r="37"/>
    <row r="38"/>
    <row r="39">
      <c r="R39" s="1" t="s">
        <v>692</v>
      </c>
    </row>
    <row r="40">
      <c r="A40" s="1" t="s">
        <v>693</v>
      </c>
    </row>
    <row r="41"/>
    <row r="42"/>
    <row r="43"/>
    <row r="44"/>
    <row r="45"/>
    <row r="46">
      <c r="CD46" s="1" t="s">
        <v>13</v>
      </c>
      <c r="CH46" s="1" t="s">
        <v>14</v>
      </c>
      <c r="CI46" s="1" t="s">
        <v>15</v>
      </c>
    </row>
    <row r="47">
      <c r="BU47" s="1" t="s">
        <v>694</v>
      </c>
      <c r="CD47" s="1">
        <v>0.714</v>
      </c>
      <c r="CH47" s="1">
        <v>0.621</v>
      </c>
      <c r="CI47" s="1">
        <v>0.387</v>
      </c>
    </row>
    <row r="48">
      <c r="BU48" s="1" t="s">
        <v>695</v>
      </c>
      <c r="CD48" s="1">
        <v>0.282</v>
      </c>
      <c r="CH48" s="1">
        <v>0.755</v>
      </c>
      <c r="CI48" s="1">
        <v>0.491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conditionalFormatting sqref="DZ5:DZ48">
    <cfRule type="colorScale" priority="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A5:EA48">
    <cfRule type="colorScale" priority="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B5:EB48">
    <cfRule type="colorScale" priority="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C5:EC48">
    <cfRule type="colorScale" priority="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D5:ED48">
    <cfRule type="colorScale" priority="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E5:EE48">
    <cfRule type="colorScale" priority="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F5:EF48">
    <cfRule type="colorScale" priority="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G5:EG48">
    <cfRule type="colorScale" priority="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H5:EH48">
    <cfRule type="colorScale" priority="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I5:EI48">
    <cfRule type="colorScale" priority="1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J5:EJ48">
    <cfRule type="colorScale" priority="1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K5:EK48">
    <cfRule type="colorScale" priority="1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L5:EL48">
    <cfRule type="colorScale" priority="1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M5:EM48">
    <cfRule type="colorScale" priority="1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N5:EN48">
    <cfRule type="colorScale" priority="1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O5:EO48">
    <cfRule type="colorScale" priority="1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P5:EP48">
    <cfRule type="colorScale" priority="1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Q5:EQ48">
    <cfRule type="colorScale" priority="1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R5:ER48">
    <cfRule type="colorScale" priority="1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S5:ES48">
    <cfRule type="colorScale" priority="2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T5:EU48 EV31:EW48">
    <cfRule type="colorScale" priority="2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W5:EW3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V5:EV30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14.86"/>
    <col customWidth="1" min="2" max="2" width="35.57"/>
    <col customWidth="1" min="3" max="71" width="8.71"/>
    <col customWidth="1" hidden="1" min="72" max="72" width="14.71"/>
    <col customWidth="1" hidden="1" min="73" max="76" width="8.71"/>
    <col customWidth="1" min="77" max="77" width="17.0"/>
    <col customWidth="1" min="78" max="90" width="8.71"/>
    <col customWidth="1" min="91" max="94" width="12.57"/>
    <col customWidth="1" min="95" max="114" width="8.71"/>
    <col customWidth="1" min="115" max="115" width="14.29"/>
    <col customWidth="1" min="116" max="133" width="8.71"/>
    <col customWidth="1" min="134" max="134" width="12.71"/>
    <col customWidth="1" min="135" max="139" width="8.71"/>
    <col customWidth="1" min="140" max="140" width="13.14"/>
    <col customWidth="1" min="141" max="153" width="8.71"/>
  </cols>
  <sheetData>
    <row r="1">
      <c r="A1" s="1" t="s">
        <v>0</v>
      </c>
    </row>
    <row r="2">
      <c r="A2" s="1" t="s">
        <v>1</v>
      </c>
      <c r="C2" s="2" t="s">
        <v>2</v>
      </c>
      <c r="AG2" s="1" t="s">
        <v>3</v>
      </c>
      <c r="AV2" s="1" t="s">
        <v>4</v>
      </c>
      <c r="BY2" s="1" t="s">
        <v>5</v>
      </c>
      <c r="CQ2" s="1" t="s">
        <v>6</v>
      </c>
      <c r="DZ2" s="3" t="s">
        <v>7</v>
      </c>
      <c r="EA2" s="4"/>
      <c r="EB2" s="4"/>
      <c r="EC2" s="4"/>
      <c r="ED2" s="4"/>
      <c r="EE2" s="3" t="s">
        <v>8</v>
      </c>
      <c r="EF2" s="4"/>
      <c r="EG2" s="4"/>
      <c r="EH2" s="3" t="s">
        <v>9</v>
      </c>
      <c r="EI2" s="5"/>
      <c r="EJ2" s="6" t="s">
        <v>10</v>
      </c>
      <c r="EK2" s="7" t="s">
        <v>10</v>
      </c>
      <c r="EL2" s="8"/>
      <c r="EM2" s="8"/>
      <c r="EN2" s="9"/>
      <c r="EO2" s="10" t="s">
        <v>11</v>
      </c>
      <c r="EP2" s="4"/>
      <c r="EQ2" s="4"/>
      <c r="ER2" s="4"/>
      <c r="ES2" s="4"/>
      <c r="ET2" s="4"/>
      <c r="EU2" s="4"/>
      <c r="EV2" s="4"/>
      <c r="EW2" s="4"/>
    </row>
    <row r="3"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13</v>
      </c>
      <c r="I3" s="11" t="s">
        <v>13</v>
      </c>
      <c r="J3" s="11" t="s">
        <v>13</v>
      </c>
      <c r="K3" s="11" t="s">
        <v>13</v>
      </c>
      <c r="L3" s="11" t="s">
        <v>13</v>
      </c>
      <c r="M3" s="11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15</v>
      </c>
      <c r="S3" s="11" t="s">
        <v>15</v>
      </c>
      <c r="T3" s="11" t="s">
        <v>15</v>
      </c>
      <c r="U3" s="11" t="s">
        <v>15</v>
      </c>
      <c r="V3" s="11" t="s">
        <v>15</v>
      </c>
      <c r="W3" s="11" t="s">
        <v>16</v>
      </c>
      <c r="X3" s="11" t="s">
        <v>16</v>
      </c>
      <c r="Y3" s="11" t="s">
        <v>16</v>
      </c>
      <c r="Z3" s="11" t="s">
        <v>16</v>
      </c>
      <c r="AA3" s="11" t="s">
        <v>16</v>
      </c>
      <c r="AB3" s="11" t="s">
        <v>17</v>
      </c>
      <c r="AC3" s="11" t="s">
        <v>17</v>
      </c>
      <c r="AD3" s="11" t="s">
        <v>17</v>
      </c>
      <c r="AE3" s="11" t="s">
        <v>17</v>
      </c>
      <c r="AF3" s="11" t="s">
        <v>17</v>
      </c>
      <c r="AG3" s="11" t="s">
        <v>18</v>
      </c>
      <c r="AH3" s="11" t="s">
        <v>18</v>
      </c>
      <c r="AI3" s="11" t="s">
        <v>18</v>
      </c>
      <c r="AJ3" s="11" t="s">
        <v>19</v>
      </c>
      <c r="AK3" s="11" t="s">
        <v>19</v>
      </c>
      <c r="AL3" s="11" t="s">
        <v>19</v>
      </c>
      <c r="AM3" s="11" t="s">
        <v>20</v>
      </c>
      <c r="AN3" s="11" t="s">
        <v>20</v>
      </c>
      <c r="AO3" s="11" t="s">
        <v>20</v>
      </c>
      <c r="AP3" s="11" t="s">
        <v>21</v>
      </c>
      <c r="AQ3" s="11" t="s">
        <v>21</v>
      </c>
      <c r="AR3" s="11" t="s">
        <v>21</v>
      </c>
      <c r="AS3" s="11" t="s">
        <v>22</v>
      </c>
      <c r="AT3" s="11" t="s">
        <v>22</v>
      </c>
      <c r="AU3" s="11" t="s">
        <v>22</v>
      </c>
      <c r="AV3" s="11" t="s">
        <v>23</v>
      </c>
      <c r="AW3" s="11" t="s">
        <v>23</v>
      </c>
      <c r="AX3" s="11" t="s">
        <v>23</v>
      </c>
      <c r="AY3" s="11" t="s">
        <v>24</v>
      </c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25</v>
      </c>
      <c r="BE3" s="11" t="s">
        <v>26</v>
      </c>
      <c r="BF3" s="11" t="s">
        <v>26</v>
      </c>
      <c r="BG3" s="11" t="s">
        <v>26</v>
      </c>
      <c r="BH3" s="11" t="s">
        <v>27</v>
      </c>
      <c r="BI3" s="11" t="s">
        <v>27</v>
      </c>
      <c r="BJ3" s="11" t="s">
        <v>27</v>
      </c>
      <c r="BK3" s="11" t="s">
        <v>28</v>
      </c>
      <c r="BL3" s="11" t="s">
        <v>28</v>
      </c>
      <c r="BM3" s="11" t="s">
        <v>28</v>
      </c>
      <c r="BN3" s="11" t="s">
        <v>29</v>
      </c>
      <c r="BO3" s="11" t="s">
        <v>29</v>
      </c>
      <c r="BP3" s="11" t="s">
        <v>29</v>
      </c>
      <c r="BQ3" s="11" t="s">
        <v>30</v>
      </c>
      <c r="BR3" s="11" t="s">
        <v>30</v>
      </c>
      <c r="BS3" s="11" t="s">
        <v>30</v>
      </c>
      <c r="BT3" s="11" t="s">
        <v>31</v>
      </c>
      <c r="BU3" s="11" t="s">
        <v>31</v>
      </c>
      <c r="BV3" s="11" t="s">
        <v>31</v>
      </c>
      <c r="BW3" s="11" t="s">
        <v>31</v>
      </c>
      <c r="BX3" s="11" t="s">
        <v>31</v>
      </c>
      <c r="BY3" s="11" t="s">
        <v>32</v>
      </c>
      <c r="BZ3" s="11" t="s">
        <v>32</v>
      </c>
      <c r="CA3" s="11" t="s">
        <v>32</v>
      </c>
      <c r="CB3" s="11" t="s">
        <v>32</v>
      </c>
      <c r="CC3" s="11" t="s">
        <v>32</v>
      </c>
      <c r="CD3" s="11" t="s">
        <v>33</v>
      </c>
      <c r="CE3" s="11" t="s">
        <v>33</v>
      </c>
      <c r="CF3" s="11" t="s">
        <v>33</v>
      </c>
      <c r="CG3" s="11" t="s">
        <v>33</v>
      </c>
      <c r="CH3" s="11" t="s">
        <v>34</v>
      </c>
      <c r="CI3" s="11" t="s">
        <v>34</v>
      </c>
      <c r="CJ3" s="11" t="s">
        <v>34</v>
      </c>
      <c r="CK3" s="11" t="s">
        <v>34</v>
      </c>
      <c r="CL3" s="11" t="s">
        <v>34</v>
      </c>
      <c r="CM3" s="12" t="s">
        <v>35</v>
      </c>
      <c r="CN3" s="12" t="s">
        <v>35</v>
      </c>
      <c r="CO3" s="12" t="s">
        <v>35</v>
      </c>
      <c r="CP3" s="12" t="s">
        <v>35</v>
      </c>
      <c r="CQ3" s="11" t="s">
        <v>36</v>
      </c>
      <c r="CR3" s="11" t="s">
        <v>36</v>
      </c>
      <c r="CS3" s="11" t="s">
        <v>36</v>
      </c>
      <c r="CT3" s="11" t="s">
        <v>36</v>
      </c>
      <c r="CU3" s="11" t="s">
        <v>36</v>
      </c>
      <c r="CV3" s="11" t="s">
        <v>36</v>
      </c>
      <c r="CW3" s="11" t="s">
        <v>36</v>
      </c>
      <c r="CX3" s="11" t="s">
        <v>37</v>
      </c>
      <c r="CY3" s="11" t="s">
        <v>37</v>
      </c>
      <c r="CZ3" s="11" t="s">
        <v>37</v>
      </c>
      <c r="DA3" s="11" t="s">
        <v>37</v>
      </c>
      <c r="DB3" s="11" t="s">
        <v>37</v>
      </c>
      <c r="DC3" s="11" t="s">
        <v>37</v>
      </c>
      <c r="DD3" s="11" t="s">
        <v>37</v>
      </c>
      <c r="DE3" s="11" t="s">
        <v>38</v>
      </c>
      <c r="DF3" s="11" t="s">
        <v>38</v>
      </c>
      <c r="DG3" s="11" t="s">
        <v>38</v>
      </c>
      <c r="DH3" s="11" t="s">
        <v>38</v>
      </c>
      <c r="DI3" s="11" t="s">
        <v>38</v>
      </c>
      <c r="DJ3" s="11" t="s">
        <v>38</v>
      </c>
      <c r="DK3" s="11" t="s">
        <v>38</v>
      </c>
      <c r="DL3" s="11" t="s">
        <v>39</v>
      </c>
      <c r="DM3" s="11" t="s">
        <v>39</v>
      </c>
      <c r="DN3" s="11" t="s">
        <v>39</v>
      </c>
      <c r="DO3" s="11" t="s">
        <v>39</v>
      </c>
      <c r="DP3" s="11" t="s">
        <v>39</v>
      </c>
      <c r="DQ3" s="4" t="s">
        <v>40</v>
      </c>
      <c r="DR3" s="4" t="s">
        <v>40</v>
      </c>
      <c r="DS3" s="4" t="s">
        <v>40</v>
      </c>
      <c r="DT3" s="4" t="s">
        <v>40</v>
      </c>
      <c r="DU3" s="4" t="s">
        <v>40</v>
      </c>
      <c r="DZ3" s="13" t="s">
        <v>41</v>
      </c>
      <c r="EA3" s="14" t="s">
        <v>41</v>
      </c>
      <c r="EB3" s="14" t="s">
        <v>41</v>
      </c>
      <c r="EC3" s="14" t="s">
        <v>41</v>
      </c>
      <c r="ED3" s="15" t="s">
        <v>41</v>
      </c>
      <c r="EE3" s="13" t="s">
        <v>42</v>
      </c>
      <c r="EF3" s="14" t="s">
        <v>42</v>
      </c>
      <c r="EG3" s="15" t="s">
        <v>42</v>
      </c>
      <c r="EH3" s="14" t="s">
        <v>4</v>
      </c>
      <c r="EI3" s="15" t="s">
        <v>4</v>
      </c>
      <c r="EJ3" s="16" t="s">
        <v>5</v>
      </c>
      <c r="EK3" s="17" t="s">
        <v>5</v>
      </c>
      <c r="EL3" s="17" t="s">
        <v>5</v>
      </c>
      <c r="EM3" s="17" t="s">
        <v>5</v>
      </c>
      <c r="EN3" s="18" t="s">
        <v>5</v>
      </c>
      <c r="EO3" s="13" t="s">
        <v>43</v>
      </c>
      <c r="EP3" s="14" t="s">
        <v>43</v>
      </c>
      <c r="EQ3" s="14" t="s">
        <v>43</v>
      </c>
      <c r="ER3" s="14" t="s">
        <v>43</v>
      </c>
      <c r="ES3" s="14" t="s">
        <v>43</v>
      </c>
      <c r="ET3" s="14" t="s">
        <v>43</v>
      </c>
      <c r="EU3" s="15" t="s">
        <v>43</v>
      </c>
      <c r="EV3" s="5" t="s">
        <v>43</v>
      </c>
      <c r="EW3" s="5" t="s">
        <v>4</v>
      </c>
    </row>
    <row r="4"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44</v>
      </c>
      <c r="N4" s="11" t="s">
        <v>45</v>
      </c>
      <c r="O4" s="11" t="s">
        <v>46</v>
      </c>
      <c r="P4" s="11" t="s">
        <v>47</v>
      </c>
      <c r="Q4" s="11" t="s">
        <v>48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1" t="s">
        <v>44</v>
      </c>
      <c r="AC4" s="11" t="s">
        <v>45</v>
      </c>
      <c r="AD4" s="11" t="s">
        <v>46</v>
      </c>
      <c r="AE4" s="11" t="s">
        <v>47</v>
      </c>
      <c r="AF4" s="11" t="s">
        <v>48</v>
      </c>
      <c r="AG4" s="11" t="s">
        <v>44</v>
      </c>
      <c r="AH4" s="11" t="s">
        <v>45</v>
      </c>
      <c r="AI4" s="11" t="s">
        <v>46</v>
      </c>
      <c r="AJ4" s="11" t="s">
        <v>44</v>
      </c>
      <c r="AK4" s="11" t="s">
        <v>45</v>
      </c>
      <c r="AL4" s="11" t="s">
        <v>46</v>
      </c>
      <c r="AM4" s="11" t="s">
        <v>44</v>
      </c>
      <c r="AN4" s="11" t="s">
        <v>45</v>
      </c>
      <c r="AO4" s="11" t="s">
        <v>46</v>
      </c>
      <c r="AP4" s="11" t="s">
        <v>44</v>
      </c>
      <c r="AQ4" s="11" t="s">
        <v>45</v>
      </c>
      <c r="AR4" s="11" t="s">
        <v>46</v>
      </c>
      <c r="AS4" s="11" t="s">
        <v>44</v>
      </c>
      <c r="AT4" s="11" t="s">
        <v>45</v>
      </c>
      <c r="AU4" s="11" t="s">
        <v>46</v>
      </c>
      <c r="AV4" s="11" t="s">
        <v>44</v>
      </c>
      <c r="AW4" s="11" t="s">
        <v>45</v>
      </c>
      <c r="AX4" s="11" t="s">
        <v>46</v>
      </c>
      <c r="AY4" s="11" t="s">
        <v>44</v>
      </c>
      <c r="AZ4" s="11" t="s">
        <v>45</v>
      </c>
      <c r="BA4" s="11" t="s">
        <v>46</v>
      </c>
      <c r="BB4" s="11" t="s">
        <v>44</v>
      </c>
      <c r="BC4" s="11" t="s">
        <v>45</v>
      </c>
      <c r="BD4" s="11" t="s">
        <v>46</v>
      </c>
      <c r="BE4" s="11" t="s">
        <v>44</v>
      </c>
      <c r="BF4" s="11" t="s">
        <v>45</v>
      </c>
      <c r="BG4" s="11" t="s">
        <v>46</v>
      </c>
      <c r="BH4" s="11" t="s">
        <v>44</v>
      </c>
      <c r="BI4" s="11" t="s">
        <v>45</v>
      </c>
      <c r="BJ4" s="11" t="s">
        <v>46</v>
      </c>
      <c r="BK4" s="11" t="s">
        <v>44</v>
      </c>
      <c r="BL4" s="11" t="s">
        <v>45</v>
      </c>
      <c r="BM4" s="11" t="s">
        <v>46</v>
      </c>
      <c r="BN4" s="11" t="s">
        <v>44</v>
      </c>
      <c r="BO4" s="11" t="s">
        <v>45</v>
      </c>
      <c r="BP4" s="11" t="s">
        <v>46</v>
      </c>
      <c r="BQ4" s="11" t="s">
        <v>44</v>
      </c>
      <c r="BR4" s="11" t="s">
        <v>45</v>
      </c>
      <c r="BS4" s="11" t="s">
        <v>46</v>
      </c>
      <c r="BT4" s="11" t="s">
        <v>44</v>
      </c>
      <c r="BU4" s="11" t="s">
        <v>45</v>
      </c>
      <c r="BV4" s="11" t="s">
        <v>46</v>
      </c>
      <c r="BW4" s="11" t="s">
        <v>47</v>
      </c>
      <c r="BX4" s="11" t="s">
        <v>48</v>
      </c>
      <c r="BY4" s="11" t="s">
        <v>44</v>
      </c>
      <c r="BZ4" s="11" t="s">
        <v>45</v>
      </c>
      <c r="CA4" s="11" t="s">
        <v>46</v>
      </c>
      <c r="CB4" s="11" t="s">
        <v>47</v>
      </c>
      <c r="CC4" s="11" t="s">
        <v>48</v>
      </c>
      <c r="CD4" s="11" t="s">
        <v>45</v>
      </c>
      <c r="CE4" s="11" t="s">
        <v>46</v>
      </c>
      <c r="CF4" s="11" t="s">
        <v>47</v>
      </c>
      <c r="CG4" s="11" t="s">
        <v>48</v>
      </c>
      <c r="CH4" s="11" t="s">
        <v>44</v>
      </c>
      <c r="CI4" s="11" t="s">
        <v>45</v>
      </c>
      <c r="CJ4" s="11" t="s">
        <v>46</v>
      </c>
      <c r="CK4" s="11" t="s">
        <v>47</v>
      </c>
      <c r="CL4" s="11" t="s">
        <v>48</v>
      </c>
      <c r="CM4" s="11" t="s">
        <v>45</v>
      </c>
      <c r="CN4" s="11" t="s">
        <v>46</v>
      </c>
      <c r="CO4" s="11" t="s">
        <v>47</v>
      </c>
      <c r="CP4" s="11" t="s">
        <v>48</v>
      </c>
      <c r="CQ4" s="11" t="s">
        <v>45</v>
      </c>
      <c r="CR4" s="11" t="s">
        <v>46</v>
      </c>
      <c r="CS4" s="11" t="s">
        <v>49</v>
      </c>
      <c r="CT4" s="11" t="s">
        <v>50</v>
      </c>
      <c r="CU4" s="11" t="s">
        <v>47</v>
      </c>
      <c r="CV4" s="11" t="s">
        <v>48</v>
      </c>
      <c r="CW4" s="12" t="s">
        <v>44</v>
      </c>
      <c r="CX4" s="11" t="s">
        <v>45</v>
      </c>
      <c r="CY4" s="11" t="s">
        <v>46</v>
      </c>
      <c r="CZ4" s="11" t="s">
        <v>49</v>
      </c>
      <c r="DA4" s="11" t="s">
        <v>50</v>
      </c>
      <c r="DB4" s="11" t="s">
        <v>47</v>
      </c>
      <c r="DC4" s="11" t="s">
        <v>48</v>
      </c>
      <c r="DD4" s="12" t="s">
        <v>44</v>
      </c>
      <c r="DE4" s="11" t="s">
        <v>45</v>
      </c>
      <c r="DF4" s="11" t="s">
        <v>46</v>
      </c>
      <c r="DG4" s="11" t="s">
        <v>49</v>
      </c>
      <c r="DH4" s="11" t="s">
        <v>50</v>
      </c>
      <c r="DI4" s="11" t="s">
        <v>47</v>
      </c>
      <c r="DJ4" s="11" t="s">
        <v>48</v>
      </c>
      <c r="DK4" s="12" t="s">
        <v>44</v>
      </c>
      <c r="DL4" s="11" t="s">
        <v>44</v>
      </c>
      <c r="DM4" s="11" t="s">
        <v>45</v>
      </c>
      <c r="DN4" s="11" t="s">
        <v>46</v>
      </c>
      <c r="DO4" s="11" t="s">
        <v>47</v>
      </c>
      <c r="DP4" s="11" t="s">
        <v>48</v>
      </c>
      <c r="DQ4" s="4" t="s">
        <v>44</v>
      </c>
      <c r="DR4" s="4" t="s">
        <v>45</v>
      </c>
      <c r="DS4" s="4" t="s">
        <v>46</v>
      </c>
      <c r="DT4" s="4" t="s">
        <v>47</v>
      </c>
      <c r="DU4" s="4" t="s">
        <v>48</v>
      </c>
      <c r="DZ4" s="19" t="s">
        <v>44</v>
      </c>
      <c r="EA4" s="5" t="s">
        <v>45</v>
      </c>
      <c r="EB4" s="5" t="s">
        <v>46</v>
      </c>
      <c r="EC4" s="5" t="s">
        <v>47</v>
      </c>
      <c r="ED4" s="20" t="s">
        <v>48</v>
      </c>
      <c r="EE4" s="19" t="s">
        <v>44</v>
      </c>
      <c r="EF4" s="5" t="s">
        <v>45</v>
      </c>
      <c r="EG4" s="20" t="s">
        <v>46</v>
      </c>
      <c r="EH4" s="5" t="s">
        <v>45</v>
      </c>
      <c r="EI4" s="20" t="s">
        <v>46</v>
      </c>
      <c r="EJ4" s="21" t="s">
        <v>44</v>
      </c>
      <c r="EK4" s="9" t="s">
        <v>45</v>
      </c>
      <c r="EL4" s="9" t="s">
        <v>46</v>
      </c>
      <c r="EM4" s="9" t="s">
        <v>47</v>
      </c>
      <c r="EN4" s="22" t="s">
        <v>48</v>
      </c>
      <c r="EO4" s="19" t="s">
        <v>44</v>
      </c>
      <c r="EP4" s="5" t="s">
        <v>45</v>
      </c>
      <c r="EQ4" s="5" t="s">
        <v>46</v>
      </c>
      <c r="ER4" s="5" t="s">
        <v>47</v>
      </c>
      <c r="ES4" s="5" t="s">
        <v>48</v>
      </c>
      <c r="ET4" s="5" t="s">
        <v>49</v>
      </c>
      <c r="EU4" s="20" t="s">
        <v>50</v>
      </c>
      <c r="EV4" s="5" t="s">
        <v>51</v>
      </c>
      <c r="EW4" s="5" t="s">
        <v>44</v>
      </c>
    </row>
    <row r="5">
      <c r="A5" s="23" t="s">
        <v>52</v>
      </c>
      <c r="B5" s="24" t="s">
        <v>53</v>
      </c>
      <c r="C5" s="25">
        <v>0.82</v>
      </c>
      <c r="D5" s="26" t="s">
        <v>54</v>
      </c>
      <c r="E5" s="26" t="s">
        <v>55</v>
      </c>
      <c r="F5" s="26" t="s">
        <v>56</v>
      </c>
      <c r="G5" s="26" t="s">
        <v>57</v>
      </c>
      <c r="H5" s="26">
        <v>0.332</v>
      </c>
      <c r="I5" s="26" t="s">
        <v>58</v>
      </c>
      <c r="J5" s="26" t="s">
        <v>59</v>
      </c>
      <c r="K5" s="26" t="s">
        <v>60</v>
      </c>
      <c r="L5" s="26" t="s">
        <v>61</v>
      </c>
      <c r="M5" s="26">
        <v>0.769</v>
      </c>
      <c r="N5" s="26" t="s">
        <v>62</v>
      </c>
      <c r="O5" s="26" t="s">
        <v>63</v>
      </c>
      <c r="P5" s="26" t="s">
        <v>64</v>
      </c>
      <c r="Q5" s="26" t="s">
        <v>65</v>
      </c>
      <c r="R5" s="26">
        <v>0.639</v>
      </c>
      <c r="S5" s="26" t="s">
        <v>66</v>
      </c>
      <c r="T5" s="26" t="s">
        <v>67</v>
      </c>
      <c r="U5" s="26" t="s">
        <v>68</v>
      </c>
      <c r="V5" s="26" t="s">
        <v>69</v>
      </c>
      <c r="W5" s="26">
        <v>0.842</v>
      </c>
      <c r="X5" s="26" t="s">
        <v>70</v>
      </c>
      <c r="Y5" s="26" t="s">
        <v>71</v>
      </c>
      <c r="Z5" s="26" t="s">
        <v>72</v>
      </c>
      <c r="AA5" s="26" t="s">
        <v>73</v>
      </c>
      <c r="AB5" s="26">
        <v>0.945</v>
      </c>
      <c r="AC5" s="26" t="s">
        <v>74</v>
      </c>
      <c r="AD5" s="26" t="s">
        <v>75</v>
      </c>
      <c r="AE5" s="26" t="s">
        <v>76</v>
      </c>
      <c r="AF5" s="27" t="s">
        <v>77</v>
      </c>
      <c r="AG5" s="26">
        <v>0.428</v>
      </c>
      <c r="AH5" s="26" t="s">
        <v>78</v>
      </c>
      <c r="AI5" s="26" t="s">
        <v>79</v>
      </c>
      <c r="AJ5" s="26">
        <v>0.094</v>
      </c>
      <c r="AK5" s="26" t="s">
        <v>80</v>
      </c>
      <c r="AL5" s="26" t="s">
        <v>81</v>
      </c>
      <c r="AM5" s="26">
        <v>0.577</v>
      </c>
      <c r="AN5" s="26" t="s">
        <v>82</v>
      </c>
      <c r="AO5" s="26" t="s">
        <v>83</v>
      </c>
      <c r="AP5" s="26">
        <v>0.216</v>
      </c>
      <c r="AQ5" s="26" t="s">
        <v>84</v>
      </c>
      <c r="AR5" s="26" t="s">
        <v>85</v>
      </c>
      <c r="AS5" s="26">
        <v>0.381</v>
      </c>
      <c r="AT5" s="26" t="s">
        <v>86</v>
      </c>
      <c r="AU5" s="26" t="s">
        <v>87</v>
      </c>
      <c r="AV5" s="28">
        <v>0.108</v>
      </c>
      <c r="AW5" s="26" t="s">
        <v>88</v>
      </c>
      <c r="AX5" s="26" t="s">
        <v>89</v>
      </c>
      <c r="AY5" s="29">
        <v>0.046</v>
      </c>
      <c r="AZ5" s="26" t="s">
        <v>90</v>
      </c>
      <c r="BA5" s="26" t="s">
        <v>91</v>
      </c>
      <c r="BB5" s="29">
        <v>0.062</v>
      </c>
      <c r="BC5" s="26" t="s">
        <v>92</v>
      </c>
      <c r="BD5" s="26" t="s">
        <v>93</v>
      </c>
      <c r="BE5" s="29">
        <v>0.213</v>
      </c>
      <c r="BF5" s="26" t="s">
        <v>94</v>
      </c>
      <c r="BG5" s="26" t="s">
        <v>95</v>
      </c>
      <c r="BH5" s="29">
        <v>0.107</v>
      </c>
      <c r="BI5" s="26" t="s">
        <v>96</v>
      </c>
      <c r="BJ5" s="26" t="s">
        <v>97</v>
      </c>
      <c r="BK5" s="29">
        <v>0.094</v>
      </c>
      <c r="BL5" s="30">
        <v>0.704</v>
      </c>
      <c r="BM5" s="30">
        <v>0.793</v>
      </c>
      <c r="BN5" s="29">
        <v>0.079</v>
      </c>
      <c r="BO5" s="30">
        <v>0.725</v>
      </c>
      <c r="BP5" s="30">
        <v>0.82</v>
      </c>
      <c r="BQ5" s="26"/>
      <c r="BR5" s="26"/>
      <c r="BS5" s="27"/>
      <c r="BT5" s="26" t="s">
        <v>98</v>
      </c>
      <c r="BU5" s="26" t="s">
        <v>77</v>
      </c>
      <c r="BV5" s="26" t="s">
        <v>99</v>
      </c>
      <c r="BW5" s="26" t="s">
        <v>100</v>
      </c>
      <c r="BX5" s="26" t="s">
        <v>101</v>
      </c>
      <c r="BY5" s="26" t="s">
        <v>102</v>
      </c>
      <c r="BZ5" s="26" t="s">
        <v>103</v>
      </c>
      <c r="CA5" s="26" t="s">
        <v>104</v>
      </c>
      <c r="CB5" s="26" t="s">
        <v>105</v>
      </c>
      <c r="CC5" s="26" t="s">
        <v>106</v>
      </c>
      <c r="CD5" s="26" t="s">
        <v>107</v>
      </c>
      <c r="CE5" s="26" t="s">
        <v>108</v>
      </c>
      <c r="CF5" s="26" t="s">
        <v>109</v>
      </c>
      <c r="CG5" s="26" t="s">
        <v>110</v>
      </c>
      <c r="CH5" s="4">
        <v>0.9486196319</v>
      </c>
      <c r="CI5" s="4">
        <v>0.898063264</v>
      </c>
      <c r="CJ5" s="4">
        <v>0.9207566462</v>
      </c>
      <c r="CK5" s="4">
        <v>0.7423079753</v>
      </c>
      <c r="CL5" s="4">
        <v>0.6220189648</v>
      </c>
      <c r="CM5" s="144">
        <v>0.657</v>
      </c>
      <c r="CN5" s="144">
        <v>0.69</v>
      </c>
      <c r="CO5" s="144">
        <v>0.359</v>
      </c>
      <c r="CP5" s="144">
        <v>0.124</v>
      </c>
      <c r="CQ5" s="145">
        <v>0.835</v>
      </c>
      <c r="CR5" s="4">
        <v>0.955</v>
      </c>
      <c r="CS5" s="4">
        <v>0.47</v>
      </c>
      <c r="CT5" s="4">
        <v>0.129</v>
      </c>
      <c r="CU5" s="4">
        <v>0.725</v>
      </c>
      <c r="CV5" s="4">
        <v>0.573</v>
      </c>
      <c r="CW5" s="4">
        <v>0.185</v>
      </c>
      <c r="CX5" s="4">
        <v>0.885</v>
      </c>
      <c r="CY5" s="4">
        <v>0.931</v>
      </c>
      <c r="CZ5" s="4">
        <v>0.663</v>
      </c>
      <c r="DA5" s="4">
        <v>0.279</v>
      </c>
      <c r="DB5" s="4">
        <v>0.745</v>
      </c>
      <c r="DC5" s="4">
        <v>0.587</v>
      </c>
      <c r="DD5" s="4">
        <v>0.29</v>
      </c>
      <c r="DE5" s="4">
        <v>0.821</v>
      </c>
      <c r="DF5" s="4">
        <v>0.869</v>
      </c>
      <c r="DG5" s="4">
        <v>0.5</v>
      </c>
      <c r="DH5" s="4">
        <v>0.05</v>
      </c>
      <c r="DI5" s="4">
        <v>0.645</v>
      </c>
      <c r="DJ5" s="4">
        <v>0.545</v>
      </c>
      <c r="DK5" s="4">
        <v>0.061</v>
      </c>
      <c r="DL5" s="4">
        <v>0.963</v>
      </c>
      <c r="DM5" s="4" t="s">
        <v>54</v>
      </c>
      <c r="DN5" s="4" t="s">
        <v>111</v>
      </c>
      <c r="DO5" s="4" t="s">
        <v>112</v>
      </c>
      <c r="DP5" s="238" t="s">
        <v>113</v>
      </c>
      <c r="DQ5" s="352">
        <v>0.201</v>
      </c>
      <c r="DR5" s="352">
        <v>0.769</v>
      </c>
      <c r="DS5" s="352">
        <v>0.782</v>
      </c>
      <c r="DT5" s="352">
        <v>0.424</v>
      </c>
      <c r="DU5" s="352">
        <v>0.229</v>
      </c>
      <c r="DZ5" s="33">
        <f t="shared" ref="DZ5:ED5" si="1">IFERROR(AVERAGE(IFERROR(VALUE(C5),""),IFERROR(VALUE(H5),""),IFERROR(VALUE(M5),""),IFERROR(VALUE(R5),""),IFERROR(VALUE(W5),""),IFERROR(VALUE(AB5),"")),"")</f>
        <v>0.7245</v>
      </c>
      <c r="EA5" s="34">
        <f t="shared" si="1"/>
        <v>0.7386666667</v>
      </c>
      <c r="EB5" s="35">
        <f t="shared" si="1"/>
        <v>0.612</v>
      </c>
      <c r="EC5" s="36">
        <f t="shared" si="1"/>
        <v>0.5038333333</v>
      </c>
      <c r="ED5" s="37">
        <f t="shared" si="1"/>
        <v>0.2546666667</v>
      </c>
      <c r="EE5" s="33">
        <f t="shared" ref="EE5:EG5" si="2">IFERROR(AVERAGE(IFERROR(VALUE(AG5),""),IFERROR(VALUE(AJ5),""),IFERROR(VALUE(AM5),""),IFERROR(VALUE(AP5),""),IFERROR(VALUE(AS5),"")),"")</f>
        <v>0.3392</v>
      </c>
      <c r="EF5" s="38">
        <f t="shared" si="2"/>
        <v>0.692</v>
      </c>
      <c r="EG5" s="39">
        <f t="shared" si="2"/>
        <v>0.6196</v>
      </c>
      <c r="EH5" s="38">
        <v>0.675</v>
      </c>
      <c r="EI5" s="40">
        <v>0.791</v>
      </c>
      <c r="EJ5" s="19" t="str">
        <f t="shared" ref="EJ5:EJ12" si="8">IFERROR(AVERAGE(IFERROR(VALUE(BT5),""),IFERROR(VALUE(BY5),""),IFERROR(VALUE(CH5),"")),"")</f>
        <v/>
      </c>
      <c r="EK5" s="41">
        <f t="shared" ref="EK5:EK12" si="9">IFERROR(AVERAGE(IFERROR(VALUE(BZ5),""),IFERROR(VALUE(CD5),""),IFERROR(VALUE(CI5),""),IFERROR(VALUE(CM5),"")),"")</f>
        <v>0.755265816</v>
      </c>
      <c r="EL5" s="42">
        <f t="shared" ref="EL5:EL12" si="10">IFERROR(AVERAGE(IFERROR(VALUE(CA5),""),IFERROR(VALUE(CE5),""),IFERROR(VALUE(CJ5),""), IFERROR(VALUE(CN5),"")),"")</f>
        <v>0.7271891616</v>
      </c>
      <c r="EM5" s="35">
        <f t="shared" ref="EM5:EM12" si="11">IFERROR(AVERAGE(IFERROR(VALUE(CB5),""),IFERROR(VALUE(CF5),""),IFERROR(VALUE(CK5),""),IFERROR(VALUE(CO5),"")),"")</f>
        <v>0.4853269938</v>
      </c>
      <c r="EN5" s="43">
        <f t="shared" ref="EN5:EN12" si="12">IFERROR(AVERAGE(IFERROR(VALUE(CC5),""),IFERROR(VALUE(CG5),""),IFERROR(VALUE(CL5),""), IFERROR(VALUE(CP5),"")),"")</f>
        <v>0.2785047412</v>
      </c>
      <c r="EO5" s="44">
        <v>0.963</v>
      </c>
      <c r="EP5" s="45">
        <f t="shared" ref="EP5:EQ5" si="3">IFERROR(AVERAGE(IFERROR(VALUE(CQ5),""),IFERROR(VALUE(CX5),""),IFERROR(VALUE(DE5),""),IFERROR(VALUE(DM5),"")),"")</f>
        <v>0.829</v>
      </c>
      <c r="EQ5" s="46">
        <f t="shared" si="3"/>
        <v>0.916</v>
      </c>
      <c r="ER5" s="47">
        <f t="shared" ref="ER5:ES5" si="4">IFERROR(AVERAGE(IFERROR(VALUE(CU5),""),IFERROR(VALUE(DB5),""),IFERROR(VALUE(DI5),""),IFERROR(VALUE(DO5),"")),"")</f>
        <v>0.6395</v>
      </c>
      <c r="ES5" s="48">
        <f t="shared" si="4"/>
        <v>0.51175</v>
      </c>
      <c r="ET5" s="49">
        <f t="shared" ref="ET5:EU5" si="5">IFERROR(AVERAGE(IFERROR(VALUE(CS5),""),IFERROR(VALUE(CZ5),""),IFERROR(VALUE(DG5),"")),"")</f>
        <v>0.5443333333</v>
      </c>
      <c r="EU5" s="50">
        <f t="shared" si="5"/>
        <v>0.1526666667</v>
      </c>
      <c r="EV5" s="51">
        <v>0.601</v>
      </c>
      <c r="EW5" s="51">
        <v>0.101</v>
      </c>
    </row>
    <row r="6">
      <c r="A6" s="52"/>
      <c r="B6" s="53" t="s">
        <v>114</v>
      </c>
      <c r="C6" s="25">
        <v>0.903</v>
      </c>
      <c r="D6" s="26" t="s">
        <v>115</v>
      </c>
      <c r="E6" s="26" t="s">
        <v>116</v>
      </c>
      <c r="F6" s="26" t="s">
        <v>117</v>
      </c>
      <c r="G6" s="26" t="s">
        <v>118</v>
      </c>
      <c r="H6" s="26">
        <v>0.359</v>
      </c>
      <c r="I6" s="26" t="s">
        <v>119</v>
      </c>
      <c r="J6" s="26" t="s">
        <v>120</v>
      </c>
      <c r="K6" s="26" t="s">
        <v>121</v>
      </c>
      <c r="L6" s="26" t="s">
        <v>122</v>
      </c>
      <c r="M6" s="26">
        <v>0.81</v>
      </c>
      <c r="N6" s="26" t="s">
        <v>62</v>
      </c>
      <c r="O6" s="26" t="s">
        <v>123</v>
      </c>
      <c r="P6" s="26" t="s">
        <v>121</v>
      </c>
      <c r="Q6" s="26" t="s">
        <v>122</v>
      </c>
      <c r="R6" s="26">
        <v>0.705</v>
      </c>
      <c r="S6" s="26" t="s">
        <v>124</v>
      </c>
      <c r="T6" s="26" t="s">
        <v>125</v>
      </c>
      <c r="U6" s="26" t="s">
        <v>126</v>
      </c>
      <c r="V6" s="26" t="s">
        <v>127</v>
      </c>
      <c r="W6" s="26">
        <v>0.935</v>
      </c>
      <c r="X6" s="26" t="s">
        <v>128</v>
      </c>
      <c r="Y6" s="26" t="s">
        <v>85</v>
      </c>
      <c r="Z6" s="26" t="s">
        <v>129</v>
      </c>
      <c r="AA6" s="26" t="s">
        <v>126</v>
      </c>
      <c r="AB6" s="26">
        <v>0.93</v>
      </c>
      <c r="AC6" s="26" t="s">
        <v>130</v>
      </c>
      <c r="AD6" s="26" t="s">
        <v>131</v>
      </c>
      <c r="AE6" s="26" t="s">
        <v>132</v>
      </c>
      <c r="AF6" s="27" t="s">
        <v>133</v>
      </c>
      <c r="AG6" s="26">
        <v>0.525</v>
      </c>
      <c r="AH6" s="26" t="s">
        <v>63</v>
      </c>
      <c r="AI6" s="26" t="s">
        <v>134</v>
      </c>
      <c r="AJ6" s="26">
        <v>0.11</v>
      </c>
      <c r="AK6" s="26" t="s">
        <v>135</v>
      </c>
      <c r="AL6" s="26" t="s">
        <v>136</v>
      </c>
      <c r="AM6" s="26">
        <v>0.544</v>
      </c>
      <c r="AN6" s="26" t="s">
        <v>137</v>
      </c>
      <c r="AO6" s="26" t="s">
        <v>138</v>
      </c>
      <c r="AP6" s="26">
        <v>0.351</v>
      </c>
      <c r="AQ6" s="26" t="s">
        <v>139</v>
      </c>
      <c r="AR6" s="26" t="s">
        <v>140</v>
      </c>
      <c r="AS6" s="26">
        <v>0.373</v>
      </c>
      <c r="AT6" s="26" t="s">
        <v>141</v>
      </c>
      <c r="AU6" s="26" t="s">
        <v>142</v>
      </c>
      <c r="AV6" s="28">
        <v>0.157</v>
      </c>
      <c r="AW6" s="26" t="s">
        <v>143</v>
      </c>
      <c r="AX6" s="26" t="s">
        <v>144</v>
      </c>
      <c r="AY6" s="29">
        <v>0.07</v>
      </c>
      <c r="AZ6" s="26" t="s">
        <v>94</v>
      </c>
      <c r="BA6" s="26" t="s">
        <v>145</v>
      </c>
      <c r="BB6" s="29">
        <v>0.095</v>
      </c>
      <c r="BC6" s="26" t="s">
        <v>146</v>
      </c>
      <c r="BD6" s="26" t="s">
        <v>147</v>
      </c>
      <c r="BE6" s="29">
        <v>0.248</v>
      </c>
      <c r="BF6" s="26" t="s">
        <v>148</v>
      </c>
      <c r="BG6" s="26" t="s">
        <v>128</v>
      </c>
      <c r="BH6" s="29">
        <v>0.105</v>
      </c>
      <c r="BI6" s="26" t="s">
        <v>149</v>
      </c>
      <c r="BJ6" s="26" t="s">
        <v>150</v>
      </c>
      <c r="BK6" s="29">
        <v>0.109</v>
      </c>
      <c r="BL6" s="29">
        <v>0.751</v>
      </c>
      <c r="BM6" s="29">
        <v>0.826</v>
      </c>
      <c r="BN6" s="29">
        <v>0.116</v>
      </c>
      <c r="BO6" s="29">
        <v>0.753</v>
      </c>
      <c r="BP6" s="29">
        <v>0.851</v>
      </c>
      <c r="BQ6" s="26"/>
      <c r="BR6" s="26"/>
      <c r="BS6" s="27"/>
      <c r="BT6" s="26">
        <v>0.907</v>
      </c>
      <c r="BU6" s="26" t="s">
        <v>151</v>
      </c>
      <c r="BV6" s="26" t="s">
        <v>140</v>
      </c>
      <c r="BW6" s="26" t="s">
        <v>152</v>
      </c>
      <c r="BX6" s="26" t="s">
        <v>153</v>
      </c>
      <c r="BY6" s="26">
        <v>0.872</v>
      </c>
      <c r="BZ6" s="26" t="s">
        <v>154</v>
      </c>
      <c r="CA6" s="26" t="s">
        <v>155</v>
      </c>
      <c r="CB6" s="26" t="s">
        <v>156</v>
      </c>
      <c r="CC6" s="26" t="s">
        <v>157</v>
      </c>
      <c r="CD6" s="26" t="s">
        <v>158</v>
      </c>
      <c r="CE6" s="26" t="s">
        <v>159</v>
      </c>
      <c r="CF6" s="26" t="s">
        <v>160</v>
      </c>
      <c r="CG6" s="26" t="s">
        <v>161</v>
      </c>
      <c r="CH6" s="4">
        <v>0.9534764826</v>
      </c>
      <c r="CI6" s="4">
        <v>0.8484262057</v>
      </c>
      <c r="CJ6" s="4">
        <v>0.9271472393</v>
      </c>
      <c r="CK6" s="4">
        <v>0.6531327392</v>
      </c>
      <c r="CL6" s="4">
        <v>0.3624503196</v>
      </c>
      <c r="CM6" s="144">
        <v>0.697</v>
      </c>
      <c r="CN6" s="144">
        <v>0.753</v>
      </c>
      <c r="CO6" s="144">
        <v>0.409</v>
      </c>
      <c r="CP6" s="144">
        <v>0.153</v>
      </c>
      <c r="CQ6" s="145">
        <v>0.924</v>
      </c>
      <c r="CR6" s="4">
        <v>0.985</v>
      </c>
      <c r="CS6" s="4">
        <v>0.536</v>
      </c>
      <c r="CT6" s="4">
        <v>0.086</v>
      </c>
      <c r="CU6" s="4">
        <v>0.891</v>
      </c>
      <c r="CV6" s="4">
        <v>0.818</v>
      </c>
      <c r="CW6" s="4">
        <v>0.18</v>
      </c>
      <c r="CX6" s="4">
        <v>0.929</v>
      </c>
      <c r="CY6" s="4">
        <v>0.98</v>
      </c>
      <c r="CZ6" s="4">
        <v>0.7</v>
      </c>
      <c r="DA6" s="4">
        <v>0.305</v>
      </c>
      <c r="DB6" s="4">
        <v>0.875</v>
      </c>
      <c r="DC6" s="4">
        <v>0.749</v>
      </c>
      <c r="DD6" s="4">
        <v>0.263</v>
      </c>
      <c r="DE6" s="4">
        <v>0.845</v>
      </c>
      <c r="DF6" s="4">
        <v>0.933</v>
      </c>
      <c r="DG6" s="4">
        <v>0.486</v>
      </c>
      <c r="DH6" s="4">
        <v>0.034</v>
      </c>
      <c r="DI6" s="4">
        <v>0.697</v>
      </c>
      <c r="DJ6" s="4">
        <v>0.559</v>
      </c>
      <c r="DK6" s="4">
        <v>0.093</v>
      </c>
      <c r="DL6" s="4">
        <v>0.985</v>
      </c>
      <c r="DM6" s="4" t="s">
        <v>162</v>
      </c>
      <c r="DN6" s="4" t="s">
        <v>163</v>
      </c>
      <c r="DO6" s="4" t="s">
        <v>164</v>
      </c>
      <c r="DP6" s="238" t="s">
        <v>165</v>
      </c>
      <c r="DQ6" s="352">
        <v>0.228</v>
      </c>
      <c r="DR6" s="352">
        <v>0.808</v>
      </c>
      <c r="DS6" s="352">
        <v>0.871</v>
      </c>
      <c r="DT6" s="352">
        <v>0.527</v>
      </c>
      <c r="DU6" s="352">
        <v>0.355</v>
      </c>
      <c r="DZ6" s="54">
        <f t="shared" ref="DZ6:ED6" si="6">IFERROR(AVERAGE(IFERROR(VALUE(C6),""),IFERROR(VALUE(H6),""),IFERROR(VALUE(M6),""),IFERROR(VALUE(R6),""),IFERROR(VALUE(W6),""),IFERROR(VALUE(AB6),"")),"")</f>
        <v>0.7736666667</v>
      </c>
      <c r="EA6" s="38">
        <f t="shared" si="6"/>
        <v>0.7341666667</v>
      </c>
      <c r="EB6" s="55">
        <f t="shared" si="6"/>
        <v>0.6465</v>
      </c>
      <c r="EC6" s="56">
        <f t="shared" si="6"/>
        <v>0.5421666667</v>
      </c>
      <c r="ED6" s="57">
        <f t="shared" si="6"/>
        <v>0.2046666667</v>
      </c>
      <c r="EE6" s="58">
        <f t="shared" ref="EE6:EG6" si="7">IFERROR(AVERAGE(IFERROR(VALUE(AG6),""),IFERROR(VALUE(AJ6),""),IFERROR(VALUE(AM6),""),IFERROR(VALUE(AP6),""),IFERROR(VALUE(AS6),"")),"")</f>
        <v>0.3806</v>
      </c>
      <c r="EF6" s="59">
        <f t="shared" si="7"/>
        <v>0.7216</v>
      </c>
      <c r="EG6" s="60">
        <f t="shared" si="7"/>
        <v>0.6542</v>
      </c>
      <c r="EH6" s="55">
        <v>0.686</v>
      </c>
      <c r="EI6" s="61">
        <v>0.813</v>
      </c>
      <c r="EJ6" s="62">
        <f t="shared" si="8"/>
        <v>0.9108254942</v>
      </c>
      <c r="EK6" s="38">
        <f t="shared" si="9"/>
        <v>0.7751065514</v>
      </c>
      <c r="EL6" s="63">
        <f t="shared" si="10"/>
        <v>0.7767868098</v>
      </c>
      <c r="EM6" s="34">
        <f t="shared" si="11"/>
        <v>0.4977831848</v>
      </c>
      <c r="EN6" s="64">
        <f t="shared" si="12"/>
        <v>0.2393625799</v>
      </c>
      <c r="EO6" s="65">
        <v>0.985</v>
      </c>
      <c r="EP6" s="66">
        <f t="shared" ref="EP6:EQ6" si="13">IFERROR(AVERAGE(IFERROR(VALUE(CQ6),""),IFERROR(VALUE(CX6),""),IFERROR(VALUE(DE6),""),IFERROR(VALUE(DM6),"")),"")</f>
        <v>0.88125</v>
      </c>
      <c r="EQ6" s="67">
        <f t="shared" si="13"/>
        <v>0.95725</v>
      </c>
      <c r="ER6" s="68">
        <f t="shared" ref="ER6:ES6" si="14">IFERROR(AVERAGE(IFERROR(VALUE(CU6),""),IFERROR(VALUE(DB6),""),IFERROR(VALUE(DI6),""),IFERROR(VALUE(DO6),"")),"")</f>
        <v>0.77575</v>
      </c>
      <c r="ES6" s="69">
        <f t="shared" si="14"/>
        <v>0.679</v>
      </c>
      <c r="ET6" s="70">
        <f t="shared" ref="ET6:EU6" si="15">IFERROR(AVERAGE(IFERROR(VALUE(CS6),""),IFERROR(VALUE(CZ6),""),IFERROR(VALUE(DG6),"")),"")</f>
        <v>0.574</v>
      </c>
      <c r="EU6" s="71">
        <f t="shared" si="15"/>
        <v>0.1416666667</v>
      </c>
      <c r="EV6" s="51">
        <v>0.637</v>
      </c>
      <c r="EW6" s="51">
        <v>0.129</v>
      </c>
    </row>
    <row r="7">
      <c r="A7" s="52"/>
      <c r="B7" s="53" t="s">
        <v>696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 t="s">
        <v>484</v>
      </c>
      <c r="O7" s="26" t="s">
        <v>268</v>
      </c>
      <c r="P7" s="26" t="s">
        <v>206</v>
      </c>
      <c r="Q7" s="26" t="s">
        <v>296</v>
      </c>
      <c r="R7" s="26"/>
      <c r="S7" s="26" t="s">
        <v>437</v>
      </c>
      <c r="T7" s="26" t="s">
        <v>697</v>
      </c>
      <c r="U7" s="26"/>
      <c r="V7" s="26"/>
      <c r="W7" s="26"/>
      <c r="X7" s="26" t="s">
        <v>698</v>
      </c>
      <c r="Y7" s="26" t="s">
        <v>363</v>
      </c>
      <c r="Z7" s="26"/>
      <c r="AA7" s="26"/>
      <c r="AB7" s="26">
        <v>0.91</v>
      </c>
      <c r="AC7" s="26" t="s">
        <v>316</v>
      </c>
      <c r="AD7" s="26" t="s">
        <v>317</v>
      </c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8"/>
      <c r="AW7" s="26" t="s">
        <v>642</v>
      </c>
      <c r="AX7" s="26" t="s">
        <v>699</v>
      </c>
      <c r="AY7" s="29"/>
      <c r="AZ7" s="26"/>
      <c r="BA7" s="26"/>
      <c r="BB7" s="29"/>
      <c r="BC7" s="26"/>
      <c r="BD7" s="26"/>
      <c r="BE7" s="29"/>
      <c r="BF7" s="26"/>
      <c r="BG7" s="26"/>
      <c r="BH7" s="29"/>
      <c r="BI7" s="26"/>
      <c r="BJ7" s="26"/>
      <c r="BK7" s="29"/>
      <c r="BL7" s="29"/>
      <c r="BM7" s="29"/>
      <c r="BN7" s="29"/>
      <c r="BO7" s="29"/>
      <c r="BP7" s="29"/>
      <c r="BQ7" s="26"/>
      <c r="BR7" s="26"/>
      <c r="BS7" s="27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4"/>
      <c r="CI7" s="4"/>
      <c r="CJ7" s="4"/>
      <c r="CK7" s="4"/>
      <c r="CL7" s="4"/>
      <c r="CM7" s="4"/>
      <c r="CN7" s="4"/>
      <c r="CO7" s="4"/>
      <c r="CP7" s="4"/>
      <c r="CQ7" s="145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238"/>
      <c r="DQ7" s="4"/>
      <c r="DR7" s="4"/>
      <c r="DS7" s="4"/>
      <c r="DT7" s="4"/>
      <c r="DU7" s="4"/>
      <c r="DZ7" s="381">
        <f t="shared" ref="DZ7:ED7" si="16">IFERROR(AVERAGE(IFERROR(VALUE(C7),""),IFERROR(VALUE(H7),""),IFERROR(VALUE(M7),""),IFERROR(VALUE(R7),""),IFERROR(VALUE(W7),""),IFERROR(VALUE(AB7),"")),"")</f>
        <v>0.1516666667</v>
      </c>
      <c r="EA7" s="382">
        <f t="shared" si="16"/>
        <v>0.4703333333</v>
      </c>
      <c r="EB7" s="88">
        <f t="shared" si="16"/>
        <v>0.4284166667</v>
      </c>
      <c r="EC7" s="383">
        <f t="shared" si="16"/>
        <v>0.0775</v>
      </c>
      <c r="ED7" s="384">
        <f t="shared" si="16"/>
        <v>0.04216666667</v>
      </c>
      <c r="EE7" s="385">
        <f t="shared" ref="EE7:EG7" si="17">IFERROR(AVERAGE(IFERROR(VALUE(AG7),""),IFERROR(VALUE(AJ7),""),IFERROR(VALUE(AM7),""),IFERROR(VALUE(AP7),""),IFERROR(VALUE(AS7),"")),"")</f>
        <v>0</v>
      </c>
      <c r="EF7" s="386">
        <f t="shared" si="17"/>
        <v>0</v>
      </c>
      <c r="EG7" s="387">
        <f t="shared" si="17"/>
        <v>0</v>
      </c>
      <c r="EH7" s="296">
        <v>0.688</v>
      </c>
      <c r="EI7" s="303">
        <v>0.979</v>
      </c>
      <c r="EJ7" s="385">
        <f t="shared" si="8"/>
        <v>0</v>
      </c>
      <c r="EK7" s="386">
        <f t="shared" si="9"/>
        <v>0</v>
      </c>
      <c r="EL7" s="386">
        <f t="shared" si="10"/>
        <v>0</v>
      </c>
      <c r="EM7" s="386">
        <f t="shared" si="11"/>
        <v>0</v>
      </c>
      <c r="EN7" s="387">
        <f t="shared" si="12"/>
        <v>0</v>
      </c>
      <c r="EO7" s="385">
        <f t="shared" ref="EO7:EO8" si="24">IFERROR(AVERAGE(IFERROR(VALUE(DL7),"")),"")</f>
        <v>0</v>
      </c>
      <c r="EP7" s="386">
        <f t="shared" ref="EP7:EQ7" si="18">IFERROR(AVERAGE(IFERROR(VALUE(CQ7),""),IFERROR(VALUE(CX7),""),IFERROR(VALUE(DE7),""),IFERROR(VALUE(DM7),"")),"")</f>
        <v>0</v>
      </c>
      <c r="EQ7" s="386">
        <f t="shared" si="18"/>
        <v>0</v>
      </c>
      <c r="ER7" s="386">
        <f t="shared" ref="ER7:ES7" si="19">IFERROR(AVERAGE(IFERROR(VALUE(CU7),""),IFERROR(VALUE(DB7),""),IFERROR(VALUE(DI7),""),IFERROR(VALUE(DO7),"")),"")</f>
        <v>0</v>
      </c>
      <c r="ES7" s="386">
        <f t="shared" si="19"/>
        <v>0</v>
      </c>
      <c r="ET7" s="386">
        <f t="shared" ref="ET7:EU7" si="20">IFERROR(AVERAGE(IFERROR(VALUE(CS7),""),IFERROR(VALUE(CZ7),""),IFERROR(VALUE(DG7),"")),"")</f>
        <v>0</v>
      </c>
      <c r="EU7" s="387">
        <f t="shared" si="20"/>
        <v>0</v>
      </c>
      <c r="EV7" s="51"/>
      <c r="EW7" s="51"/>
    </row>
    <row r="8">
      <c r="A8" s="52"/>
      <c r="B8" s="53" t="s">
        <v>700</v>
      </c>
      <c r="C8" s="25">
        <v>0.888</v>
      </c>
      <c r="D8" s="26"/>
      <c r="E8" s="26"/>
      <c r="F8" s="26"/>
      <c r="G8" s="26"/>
      <c r="H8" s="26">
        <v>0.456</v>
      </c>
      <c r="I8" s="26" t="s">
        <v>701</v>
      </c>
      <c r="J8" s="26" t="s">
        <v>499</v>
      </c>
      <c r="K8" s="26"/>
      <c r="L8" s="26"/>
      <c r="M8" s="26">
        <v>0.829</v>
      </c>
      <c r="N8" s="26" t="s">
        <v>702</v>
      </c>
      <c r="O8" s="26" t="s">
        <v>474</v>
      </c>
      <c r="P8" s="26"/>
      <c r="Q8" s="26"/>
      <c r="R8" s="26">
        <v>0.732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 t="s">
        <v>615</v>
      </c>
      <c r="AD8" s="26" t="s">
        <v>642</v>
      </c>
      <c r="AE8" s="26" t="s">
        <v>679</v>
      </c>
      <c r="AF8" s="27" t="s">
        <v>518</v>
      </c>
      <c r="AG8" s="26">
        <v>0.571</v>
      </c>
      <c r="AH8" s="26" t="s">
        <v>627</v>
      </c>
      <c r="AI8" s="26" t="s">
        <v>393</v>
      </c>
      <c r="AJ8" s="26">
        <v>0.118</v>
      </c>
      <c r="AK8" s="26" t="s">
        <v>326</v>
      </c>
      <c r="AL8" s="26" t="s">
        <v>371</v>
      </c>
      <c r="AM8" s="26"/>
      <c r="AN8" s="26"/>
      <c r="AO8" s="26"/>
      <c r="AP8" s="26"/>
      <c r="AQ8" s="26"/>
      <c r="AR8" s="26"/>
      <c r="AS8" s="26"/>
      <c r="AT8" s="26"/>
      <c r="AU8" s="26"/>
      <c r="AV8" s="28"/>
      <c r="AW8" s="26"/>
      <c r="AX8" s="26"/>
      <c r="AY8" s="29"/>
      <c r="AZ8" s="26"/>
      <c r="BA8" s="26"/>
      <c r="BB8" s="29"/>
      <c r="BC8" s="26"/>
      <c r="BD8" s="26"/>
      <c r="BE8" s="29"/>
      <c r="BF8" s="26"/>
      <c r="BG8" s="26"/>
      <c r="BH8" s="29"/>
      <c r="BI8" s="26"/>
      <c r="BJ8" s="26"/>
      <c r="BK8" s="29"/>
      <c r="BL8" s="29"/>
      <c r="BM8" s="29"/>
      <c r="BN8" s="29"/>
      <c r="BO8" s="29"/>
      <c r="BP8" s="29"/>
      <c r="BQ8" s="26"/>
      <c r="BR8" s="26"/>
      <c r="BS8" s="27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4"/>
      <c r="CI8" s="4"/>
      <c r="CJ8" s="4"/>
      <c r="CK8" s="4"/>
      <c r="CL8" s="4"/>
      <c r="CM8" s="4"/>
      <c r="CN8" s="4"/>
      <c r="CO8" s="4"/>
      <c r="CP8" s="4"/>
      <c r="CQ8" s="145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238"/>
      <c r="DQ8" s="4"/>
      <c r="DR8" s="4"/>
      <c r="DS8" s="4"/>
      <c r="DT8" s="4"/>
      <c r="DU8" s="4"/>
      <c r="DZ8" s="388">
        <f t="shared" ref="DZ8:ED8" si="21">IFERROR(AVERAGE(IFERROR(VALUE(C8),""),IFERROR(VALUE(H8),""),IFERROR(VALUE(M8),""),IFERROR(VALUE(R8),""),IFERROR(VALUE(W8),""),IFERROR(VALUE(AB8),"")),"")</f>
        <v>0.4841666667</v>
      </c>
      <c r="EA8" s="389">
        <f t="shared" si="21"/>
        <v>0.3563333333</v>
      </c>
      <c r="EB8" s="390">
        <f t="shared" si="21"/>
        <v>0.2728333333</v>
      </c>
      <c r="EC8" s="391">
        <f t="shared" si="21"/>
        <v>0.1135</v>
      </c>
      <c r="ED8" s="392">
        <f t="shared" si="21"/>
        <v>0.04133333333</v>
      </c>
      <c r="EE8" s="393">
        <f t="shared" ref="EE8:EG8" si="22">IFERROR(AVERAGE(IFERROR(VALUE(AG8),""),IFERROR(VALUE(AJ8),""),IFERROR(VALUE(AM8),""),IFERROR(VALUE(AP8),""),IFERROR(VALUE(AS8),"")),"")</f>
        <v>0.1378</v>
      </c>
      <c r="EF8" s="394">
        <f t="shared" si="22"/>
        <v>0.2692</v>
      </c>
      <c r="EG8" s="395">
        <f t="shared" si="22"/>
        <v>0.2474</v>
      </c>
      <c r="EH8" s="386">
        <f t="shared" ref="EH8:EI8" si="23">IFERROR(AVERAGE(IFERROR(VALUE(AW8),""),IFERROR(VALUE(AZ8),""),IFERROR(VALUE(BC8),""),IFERROR(VALUE(BF8),""),IFERROR(VALUE(BI8),"")),"")</f>
        <v>0</v>
      </c>
      <c r="EI8" s="387">
        <f t="shared" si="23"/>
        <v>0</v>
      </c>
      <c r="EJ8" s="385">
        <f t="shared" si="8"/>
        <v>0</v>
      </c>
      <c r="EK8" s="386">
        <f t="shared" si="9"/>
        <v>0</v>
      </c>
      <c r="EL8" s="386">
        <f t="shared" si="10"/>
        <v>0</v>
      </c>
      <c r="EM8" s="386">
        <f t="shared" si="11"/>
        <v>0</v>
      </c>
      <c r="EN8" s="387">
        <f t="shared" si="12"/>
        <v>0</v>
      </c>
      <c r="EO8" s="385">
        <f t="shared" si="24"/>
        <v>0</v>
      </c>
      <c r="EP8" s="386">
        <f t="shared" ref="EP8:EQ8" si="25">IFERROR(AVERAGE(IFERROR(VALUE(CQ8),""),IFERROR(VALUE(CX8),""),IFERROR(VALUE(DE8),""),IFERROR(VALUE(DM8),"")),"")</f>
        <v>0</v>
      </c>
      <c r="EQ8" s="386">
        <f t="shared" si="25"/>
        <v>0</v>
      </c>
      <c r="ER8" s="386">
        <f t="shared" ref="ER8:ES8" si="26">IFERROR(AVERAGE(IFERROR(VALUE(CU8),""),IFERROR(VALUE(DB8),""),IFERROR(VALUE(DI8),""),IFERROR(VALUE(DO8),"")),"")</f>
        <v>0</v>
      </c>
      <c r="ES8" s="386">
        <f t="shared" si="26"/>
        <v>0</v>
      </c>
      <c r="ET8" s="386">
        <f t="shared" ref="ET8:EU8" si="27">IFERROR(AVERAGE(IFERROR(VALUE(CS8),""),IFERROR(VALUE(CZ8),""),IFERROR(VALUE(DG8),"")),"")</f>
        <v>0</v>
      </c>
      <c r="EU8" s="387">
        <f t="shared" si="27"/>
        <v>0</v>
      </c>
      <c r="EV8" s="51"/>
      <c r="EW8" s="51"/>
    </row>
    <row r="9">
      <c r="A9" s="52"/>
      <c r="B9" s="53" t="s">
        <v>166</v>
      </c>
      <c r="C9" s="25">
        <v>0.85</v>
      </c>
      <c r="D9" s="26" t="s">
        <v>167</v>
      </c>
      <c r="E9" s="26" t="s">
        <v>168</v>
      </c>
      <c r="F9" s="26" t="s">
        <v>169</v>
      </c>
      <c r="G9" s="26" t="s">
        <v>170</v>
      </c>
      <c r="H9" s="26">
        <v>0.247</v>
      </c>
      <c r="I9" s="26" t="s">
        <v>171</v>
      </c>
      <c r="J9" s="26" t="s">
        <v>172</v>
      </c>
      <c r="K9" s="26" t="s">
        <v>173</v>
      </c>
      <c r="L9" s="26" t="s">
        <v>174</v>
      </c>
      <c r="M9" s="26">
        <v>0.778</v>
      </c>
      <c r="N9" s="26" t="s">
        <v>175</v>
      </c>
      <c r="O9" s="26" t="s">
        <v>176</v>
      </c>
      <c r="P9" s="26" t="s">
        <v>177</v>
      </c>
      <c r="Q9" s="26" t="s">
        <v>178</v>
      </c>
      <c r="R9" s="26">
        <v>0.635</v>
      </c>
      <c r="S9" s="26" t="s">
        <v>179</v>
      </c>
      <c r="T9" s="26" t="s">
        <v>180</v>
      </c>
      <c r="U9" s="26" t="s">
        <v>73</v>
      </c>
      <c r="V9" s="26" t="s">
        <v>181</v>
      </c>
      <c r="W9" s="26">
        <v>0.705</v>
      </c>
      <c r="X9" s="26" t="s">
        <v>169</v>
      </c>
      <c r="Y9" s="26" t="s">
        <v>182</v>
      </c>
      <c r="Z9" s="26" t="s">
        <v>183</v>
      </c>
      <c r="AA9" s="26" t="s">
        <v>184</v>
      </c>
      <c r="AB9" s="26">
        <v>0.858</v>
      </c>
      <c r="AC9" s="26" t="s">
        <v>185</v>
      </c>
      <c r="AD9" s="26" t="s">
        <v>186</v>
      </c>
      <c r="AE9" s="26" t="s">
        <v>187</v>
      </c>
      <c r="AF9" s="27" t="s">
        <v>188</v>
      </c>
      <c r="AG9" s="26">
        <v>0.403</v>
      </c>
      <c r="AH9" s="26" t="s">
        <v>189</v>
      </c>
      <c r="AI9" s="26" t="s">
        <v>190</v>
      </c>
      <c r="AJ9" s="26">
        <v>0.077</v>
      </c>
      <c r="AK9" s="26" t="s">
        <v>191</v>
      </c>
      <c r="AL9" s="26" t="s">
        <v>192</v>
      </c>
      <c r="AM9" s="26">
        <v>0.475</v>
      </c>
      <c r="AN9" s="26" t="s">
        <v>121</v>
      </c>
      <c r="AO9" s="26" t="s">
        <v>193</v>
      </c>
      <c r="AP9" s="26">
        <v>0.041</v>
      </c>
      <c r="AQ9" s="26" t="s">
        <v>194</v>
      </c>
      <c r="AR9" s="26" t="s">
        <v>96</v>
      </c>
      <c r="AS9" s="26">
        <v>0.265</v>
      </c>
      <c r="AT9" s="26" t="s">
        <v>190</v>
      </c>
      <c r="AU9" s="26" t="s">
        <v>195</v>
      </c>
      <c r="AV9" s="28">
        <v>0.137</v>
      </c>
      <c r="AW9" s="26" t="s">
        <v>196</v>
      </c>
      <c r="AX9" s="26" t="s">
        <v>197</v>
      </c>
      <c r="AY9" s="29">
        <v>0.053</v>
      </c>
      <c r="AZ9" s="26" t="s">
        <v>198</v>
      </c>
      <c r="BA9" s="26" t="s">
        <v>199</v>
      </c>
      <c r="BB9" s="29">
        <v>0.064</v>
      </c>
      <c r="BC9" s="26" t="s">
        <v>200</v>
      </c>
      <c r="BD9" s="26" t="s">
        <v>201</v>
      </c>
      <c r="BE9" s="29">
        <v>0.188</v>
      </c>
      <c r="BF9" s="26" t="s">
        <v>137</v>
      </c>
      <c r="BG9" s="26" t="s">
        <v>121</v>
      </c>
      <c r="BH9" s="29">
        <v>0.094</v>
      </c>
      <c r="BI9" s="26" t="s">
        <v>202</v>
      </c>
      <c r="BJ9" s="26" t="s">
        <v>203</v>
      </c>
      <c r="BK9" s="29">
        <v>0.098</v>
      </c>
      <c r="BL9" s="29">
        <v>0.706</v>
      </c>
      <c r="BM9" s="29">
        <v>0.788</v>
      </c>
      <c r="BN9" s="29">
        <v>0.092</v>
      </c>
      <c r="BO9" s="29">
        <v>0.679</v>
      </c>
      <c r="BP9" s="29">
        <v>0.795</v>
      </c>
      <c r="BQ9" s="26"/>
      <c r="BR9" s="26"/>
      <c r="BS9" s="27"/>
      <c r="BT9" s="26">
        <v>0.545</v>
      </c>
      <c r="BU9" s="26" t="s">
        <v>204</v>
      </c>
      <c r="BV9" s="26" t="s">
        <v>205</v>
      </c>
      <c r="BW9" s="26" t="s">
        <v>206</v>
      </c>
      <c r="BX9" s="26" t="s">
        <v>207</v>
      </c>
      <c r="BY9" s="26">
        <v>0.784</v>
      </c>
      <c r="BZ9" s="26" t="s">
        <v>208</v>
      </c>
      <c r="CA9" s="26" t="s">
        <v>131</v>
      </c>
      <c r="CB9" s="26" t="s">
        <v>209</v>
      </c>
      <c r="CC9" s="26" t="s">
        <v>210</v>
      </c>
      <c r="CD9" s="26" t="s">
        <v>204</v>
      </c>
      <c r="CE9" s="26" t="s">
        <v>211</v>
      </c>
      <c r="CF9" s="26" t="s">
        <v>212</v>
      </c>
      <c r="CG9" s="26" t="s">
        <v>213</v>
      </c>
      <c r="CH9" s="4">
        <v>0.976993865</v>
      </c>
      <c r="CI9" s="4">
        <v>0.9736681475</v>
      </c>
      <c r="CJ9" s="4">
        <v>0.9915644172</v>
      </c>
      <c r="CK9" s="4">
        <v>0.870514462</v>
      </c>
      <c r="CL9" s="4">
        <v>0.6606112545</v>
      </c>
      <c r="CM9" s="144">
        <v>0.626</v>
      </c>
      <c r="CN9" s="144">
        <v>0.63</v>
      </c>
      <c r="CO9" s="224">
        <v>0.265</v>
      </c>
      <c r="CP9" s="144">
        <v>0.072</v>
      </c>
      <c r="CQ9" s="145">
        <v>0.611</v>
      </c>
      <c r="CR9" s="4">
        <v>0.75</v>
      </c>
      <c r="CS9" s="4">
        <v>0.544</v>
      </c>
      <c r="CT9" s="4">
        <v>0.121</v>
      </c>
      <c r="CU9" s="4">
        <v>0.211</v>
      </c>
      <c r="CV9" s="4">
        <v>0.05</v>
      </c>
      <c r="CW9" s="4">
        <v>0.205</v>
      </c>
      <c r="CX9" s="4">
        <v>0.891</v>
      </c>
      <c r="CY9" s="4">
        <v>0.934</v>
      </c>
      <c r="CZ9" s="4">
        <v>0.676</v>
      </c>
      <c r="DA9" s="4">
        <v>0.219</v>
      </c>
      <c r="DB9" s="4">
        <v>0.748</v>
      </c>
      <c r="DC9" s="4">
        <v>0.55</v>
      </c>
      <c r="DD9" s="4">
        <v>0.317</v>
      </c>
      <c r="DE9" s="4">
        <v>0.676</v>
      </c>
      <c r="DF9" s="4">
        <v>0.827</v>
      </c>
      <c r="DG9" s="4">
        <v>0.469</v>
      </c>
      <c r="DH9" s="4">
        <v>0.062</v>
      </c>
      <c r="DI9" s="4">
        <v>0.282</v>
      </c>
      <c r="DJ9" s="4">
        <v>0.149</v>
      </c>
      <c r="DK9" s="4">
        <v>0.058</v>
      </c>
      <c r="DL9" s="4">
        <v>0.872</v>
      </c>
      <c r="DM9" s="4" t="s">
        <v>214</v>
      </c>
      <c r="DN9" s="4" t="s">
        <v>215</v>
      </c>
      <c r="DO9" s="4" t="s">
        <v>216</v>
      </c>
      <c r="DP9" s="238" t="s">
        <v>217</v>
      </c>
      <c r="DQ9" s="352">
        <v>0.221</v>
      </c>
      <c r="DR9" s="352">
        <v>0.627</v>
      </c>
      <c r="DS9" s="352">
        <v>0.716</v>
      </c>
      <c r="DT9" s="352">
        <v>0.168</v>
      </c>
      <c r="DU9" s="352">
        <v>0.041</v>
      </c>
      <c r="DZ9" s="73">
        <f t="shared" ref="DZ9:ED9" si="28">IFERROR(AVERAGE(IFERROR(VALUE(C9),""),IFERROR(VALUE(H9),""),IFERROR(VALUE(M9),""),IFERROR(VALUE(R9),""),IFERROR(VALUE(W9),""),IFERROR(VALUE(AB9),"")),"")</f>
        <v>0.6788333333</v>
      </c>
      <c r="EA9" s="74">
        <f t="shared" si="28"/>
        <v>0.6746666667</v>
      </c>
      <c r="EB9" s="75">
        <f t="shared" si="28"/>
        <v>0.5308333333</v>
      </c>
      <c r="EC9" s="76">
        <f t="shared" si="28"/>
        <v>0.4238333333</v>
      </c>
      <c r="ED9" s="77">
        <f t="shared" si="28"/>
        <v>0.1361666667</v>
      </c>
      <c r="EE9" s="78">
        <f t="shared" ref="EE9:EG9" si="29">IFERROR(AVERAGE(IFERROR(VALUE(AG9),""),IFERROR(VALUE(AJ9),""),IFERROR(VALUE(AM9),""),IFERROR(VALUE(AP9),""),IFERROR(VALUE(AS9),"")),"")</f>
        <v>0.2522</v>
      </c>
      <c r="EF9" s="38">
        <f t="shared" si="29"/>
        <v>0.692</v>
      </c>
      <c r="EG9" s="79">
        <f t="shared" si="29"/>
        <v>0.6118</v>
      </c>
      <c r="EH9" s="80">
        <v>0.65</v>
      </c>
      <c r="EI9" s="81">
        <v>0.755</v>
      </c>
      <c r="EJ9" s="82">
        <f t="shared" si="8"/>
        <v>0.7686646217</v>
      </c>
      <c r="EK9" s="83">
        <f t="shared" si="9"/>
        <v>0.7679170369</v>
      </c>
      <c r="EL9" s="34">
        <f t="shared" si="10"/>
        <v>0.7643911043</v>
      </c>
      <c r="EM9" s="84">
        <f t="shared" si="11"/>
        <v>0.4673786155</v>
      </c>
      <c r="EN9" s="85">
        <f t="shared" si="12"/>
        <v>0.2441528136</v>
      </c>
      <c r="EO9" s="86">
        <v>0.872</v>
      </c>
      <c r="EP9" s="80">
        <f t="shared" ref="EP9:EQ9" si="30">IFERROR(AVERAGE(IFERROR(VALUE(CQ9),""),IFERROR(VALUE(CX9),""),IFERROR(VALUE(DE9),""),IFERROR(VALUE(DM9),"")),"")</f>
        <v>0.7455</v>
      </c>
      <c r="EQ9" s="42">
        <f t="shared" si="30"/>
        <v>0.865</v>
      </c>
      <c r="ER9" s="87">
        <f t="shared" ref="ER9:ES9" si="31">IFERROR(AVERAGE(IFERROR(VALUE(CU9),""),IFERROR(VALUE(DB9),""),IFERROR(VALUE(DI9),""),IFERROR(VALUE(DO9),"")),"")</f>
        <v>0.41325</v>
      </c>
      <c r="ES9" s="88">
        <f t="shared" si="31"/>
        <v>0.2535</v>
      </c>
      <c r="ET9" s="89">
        <f t="shared" ref="ET9:EU9" si="32">IFERROR(AVERAGE(IFERROR(VALUE(CS9),""),IFERROR(VALUE(CZ9),""),IFERROR(VALUE(DG9),"")),"")</f>
        <v>0.563</v>
      </c>
      <c r="EU9" s="90">
        <f t="shared" si="32"/>
        <v>0.134</v>
      </c>
      <c r="EV9" s="51">
        <v>0.623</v>
      </c>
      <c r="EW9" s="51">
        <v>0.104</v>
      </c>
    </row>
    <row r="10">
      <c r="A10" s="52"/>
      <c r="B10" s="53" t="s">
        <v>218</v>
      </c>
      <c r="C10" s="25">
        <v>0.867</v>
      </c>
      <c r="D10" s="26" t="s">
        <v>219</v>
      </c>
      <c r="E10" s="26" t="s">
        <v>62</v>
      </c>
      <c r="F10" s="26" t="s">
        <v>220</v>
      </c>
      <c r="G10" s="26" t="s">
        <v>221</v>
      </c>
      <c r="H10" s="26">
        <v>0.388</v>
      </c>
      <c r="I10" s="26" t="s">
        <v>222</v>
      </c>
      <c r="J10" s="26" t="s">
        <v>223</v>
      </c>
      <c r="K10" s="26" t="s">
        <v>224</v>
      </c>
      <c r="L10" s="26" t="s">
        <v>225</v>
      </c>
      <c r="M10" s="26">
        <v>0.782</v>
      </c>
      <c r="N10" s="26" t="s">
        <v>139</v>
      </c>
      <c r="O10" s="26" t="s">
        <v>85</v>
      </c>
      <c r="P10" s="26" t="s">
        <v>136</v>
      </c>
      <c r="Q10" s="26" t="s">
        <v>226</v>
      </c>
      <c r="R10" s="26">
        <v>0.654</v>
      </c>
      <c r="S10" s="26" t="s">
        <v>189</v>
      </c>
      <c r="T10" s="26" t="s">
        <v>227</v>
      </c>
      <c r="U10" s="26" t="s">
        <v>170</v>
      </c>
      <c r="V10" s="26" t="s">
        <v>228</v>
      </c>
      <c r="W10" s="26">
        <v>0.899</v>
      </c>
      <c r="X10" s="26" t="s">
        <v>229</v>
      </c>
      <c r="Y10" s="26" t="s">
        <v>71</v>
      </c>
      <c r="Z10" s="26" t="s">
        <v>170</v>
      </c>
      <c r="AA10" s="26" t="s">
        <v>228</v>
      </c>
      <c r="AB10" s="26">
        <v>0.958</v>
      </c>
      <c r="AC10" s="26" t="s">
        <v>230</v>
      </c>
      <c r="AD10" s="26" t="s">
        <v>75</v>
      </c>
      <c r="AE10" s="26" t="s">
        <v>134</v>
      </c>
      <c r="AF10" s="27" t="s">
        <v>231</v>
      </c>
      <c r="AG10" s="26">
        <v>0.467</v>
      </c>
      <c r="AH10" s="26" t="s">
        <v>168</v>
      </c>
      <c r="AI10" s="26" t="s">
        <v>232</v>
      </c>
      <c r="AJ10" s="26">
        <v>0.106</v>
      </c>
      <c r="AK10" s="26" t="s">
        <v>233</v>
      </c>
      <c r="AL10" s="26" t="s">
        <v>234</v>
      </c>
      <c r="AM10" s="26">
        <v>0.541</v>
      </c>
      <c r="AN10" s="26" t="s">
        <v>82</v>
      </c>
      <c r="AO10" s="26" t="s">
        <v>83</v>
      </c>
      <c r="AP10" s="26">
        <v>0.247</v>
      </c>
      <c r="AQ10" s="26" t="s">
        <v>235</v>
      </c>
      <c r="AR10" s="26" t="s">
        <v>236</v>
      </c>
      <c r="AS10" s="26">
        <v>0.43</v>
      </c>
      <c r="AT10" s="26" t="s">
        <v>237</v>
      </c>
      <c r="AU10" s="26" t="s">
        <v>238</v>
      </c>
      <c r="AV10" s="28">
        <v>0.163</v>
      </c>
      <c r="AW10" s="26" t="s">
        <v>94</v>
      </c>
      <c r="AX10" s="26" t="s">
        <v>239</v>
      </c>
      <c r="AY10" s="29">
        <v>0.066</v>
      </c>
      <c r="AZ10" s="26" t="s">
        <v>240</v>
      </c>
      <c r="BA10" s="26" t="s">
        <v>241</v>
      </c>
      <c r="BB10" s="29">
        <v>0.097</v>
      </c>
      <c r="BC10" s="26" t="s">
        <v>242</v>
      </c>
      <c r="BD10" s="26" t="s">
        <v>243</v>
      </c>
      <c r="BE10" s="29">
        <v>0.29</v>
      </c>
      <c r="BF10" s="26" t="s">
        <v>103</v>
      </c>
      <c r="BG10" s="26" t="s">
        <v>117</v>
      </c>
      <c r="BH10" s="29">
        <v>0.14</v>
      </c>
      <c r="BI10" s="26" t="s">
        <v>169</v>
      </c>
      <c r="BJ10" s="26" t="s">
        <v>244</v>
      </c>
      <c r="BK10" s="29">
        <v>0.124</v>
      </c>
      <c r="BL10" s="29">
        <v>0.724</v>
      </c>
      <c r="BM10" s="29">
        <v>0.804</v>
      </c>
      <c r="BN10" s="29">
        <v>0.124</v>
      </c>
      <c r="BO10" s="29">
        <v>0.741</v>
      </c>
      <c r="BP10" s="29">
        <v>0.835</v>
      </c>
      <c r="BQ10" s="26"/>
      <c r="BR10" s="26"/>
      <c r="BS10" s="27"/>
      <c r="BT10" s="26" t="s">
        <v>245</v>
      </c>
      <c r="BU10" s="26" t="s">
        <v>246</v>
      </c>
      <c r="BV10" s="26" t="s">
        <v>247</v>
      </c>
      <c r="BW10" s="26" t="s">
        <v>248</v>
      </c>
      <c r="BX10" s="26" t="s">
        <v>249</v>
      </c>
      <c r="BY10" s="26" t="s">
        <v>250</v>
      </c>
      <c r="BZ10" s="26" t="s">
        <v>150</v>
      </c>
      <c r="CA10" s="26" t="s">
        <v>251</v>
      </c>
      <c r="CB10" s="26" t="s">
        <v>252</v>
      </c>
      <c r="CC10" s="26" t="s">
        <v>253</v>
      </c>
      <c r="CD10" s="26" t="s">
        <v>254</v>
      </c>
      <c r="CE10" s="26" t="s">
        <v>255</v>
      </c>
      <c r="CF10" s="26" t="s">
        <v>256</v>
      </c>
      <c r="CG10" s="26" t="s">
        <v>257</v>
      </c>
      <c r="CH10" s="4">
        <v>0.9946319018</v>
      </c>
      <c r="CI10" s="4">
        <v>0.9840461934</v>
      </c>
      <c r="CJ10" s="4">
        <v>0.9882413088</v>
      </c>
      <c r="CK10" s="4">
        <v>0.8204137057</v>
      </c>
      <c r="CL10" s="4">
        <v>0.5891445092</v>
      </c>
      <c r="CM10" s="144">
        <v>0.687</v>
      </c>
      <c r="CN10" s="144">
        <v>0.721</v>
      </c>
      <c r="CO10" s="144">
        <v>0.357</v>
      </c>
      <c r="CP10" s="144">
        <v>0.126</v>
      </c>
      <c r="CQ10" s="145">
        <v>0.796</v>
      </c>
      <c r="CR10" s="4">
        <v>0.875</v>
      </c>
      <c r="CS10" s="4">
        <v>0.511</v>
      </c>
      <c r="CT10" s="4">
        <v>0.121</v>
      </c>
      <c r="CU10" s="4">
        <v>0.58</v>
      </c>
      <c r="CV10" s="4">
        <v>0.369</v>
      </c>
      <c r="CW10" s="4">
        <v>0.245</v>
      </c>
      <c r="CX10" s="4">
        <v>0.896</v>
      </c>
      <c r="CY10" s="4">
        <v>0.968</v>
      </c>
      <c r="CZ10" s="4">
        <v>0.714</v>
      </c>
      <c r="DA10" s="4">
        <v>0.296</v>
      </c>
      <c r="DB10" s="4">
        <v>0.809</v>
      </c>
      <c r="DC10" s="4">
        <v>0.67</v>
      </c>
      <c r="DD10" s="4">
        <v>0.391</v>
      </c>
      <c r="DE10" s="4">
        <v>0.79</v>
      </c>
      <c r="DF10" s="4">
        <v>0.875</v>
      </c>
      <c r="DG10" s="4">
        <v>0.456</v>
      </c>
      <c r="DH10" s="4">
        <v>0.037</v>
      </c>
      <c r="DI10" s="4">
        <v>0.558</v>
      </c>
      <c r="DJ10" s="4">
        <v>0.374</v>
      </c>
      <c r="DK10" s="4">
        <v>0.054</v>
      </c>
      <c r="DL10" s="4">
        <v>0.981</v>
      </c>
      <c r="DM10" s="4" t="s">
        <v>158</v>
      </c>
      <c r="DN10" s="4" t="s">
        <v>258</v>
      </c>
      <c r="DO10" s="4" t="s">
        <v>259</v>
      </c>
      <c r="DP10" s="238" t="s">
        <v>260</v>
      </c>
      <c r="DQ10" s="352">
        <v>0.155</v>
      </c>
      <c r="DR10" s="352">
        <v>0.75</v>
      </c>
      <c r="DS10" s="352">
        <v>0.805</v>
      </c>
      <c r="DT10" s="352">
        <v>0.408</v>
      </c>
      <c r="DU10" s="352">
        <v>0.233</v>
      </c>
      <c r="DZ10" s="91">
        <f t="shared" ref="DZ10:ED10" si="33">IFERROR(AVERAGE(IFERROR(VALUE(C10),""),IFERROR(VALUE(H10),""),IFERROR(VALUE(M10),""),IFERROR(VALUE(R10),""),IFERROR(VALUE(W10),""),IFERROR(VALUE(AB10),"")),"")</f>
        <v>0.758</v>
      </c>
      <c r="EA10" s="92">
        <f t="shared" si="33"/>
        <v>0.7483333333</v>
      </c>
      <c r="EB10" s="34">
        <f t="shared" si="33"/>
        <v>0.6246666667</v>
      </c>
      <c r="EC10" s="83">
        <f t="shared" si="33"/>
        <v>0.4781666667</v>
      </c>
      <c r="ED10" s="93">
        <f t="shared" si="33"/>
        <v>0.2418333333</v>
      </c>
      <c r="EE10" s="94">
        <f t="shared" ref="EE10:EG10" si="34">IFERROR(AVERAGE(IFERROR(VALUE(AG10),""),IFERROR(VALUE(AJ10),""),IFERROR(VALUE(AM10),""),IFERROR(VALUE(AP10),""),IFERROR(VALUE(AS10),"")),"")</f>
        <v>0.3582</v>
      </c>
      <c r="EF10" s="95">
        <f t="shared" si="34"/>
        <v>0.7136</v>
      </c>
      <c r="EG10" s="96">
        <f t="shared" si="34"/>
        <v>0.6424</v>
      </c>
      <c r="EH10" s="34">
        <v>0.676</v>
      </c>
      <c r="EI10" s="97">
        <v>0.81</v>
      </c>
      <c r="EJ10" s="19" t="str">
        <f t="shared" si="8"/>
        <v/>
      </c>
      <c r="EK10" s="49">
        <f t="shared" si="9"/>
        <v>0.8170115484</v>
      </c>
      <c r="EL10" s="98">
        <f t="shared" si="10"/>
        <v>0.7913103272</v>
      </c>
      <c r="EM10" s="99">
        <f t="shared" si="11"/>
        <v>0.5273534264</v>
      </c>
      <c r="EN10" s="100">
        <f t="shared" si="12"/>
        <v>0.3070361273</v>
      </c>
      <c r="EO10" s="101">
        <v>0.981</v>
      </c>
      <c r="EP10" s="102">
        <f t="shared" ref="EP10:EQ10" si="35">IFERROR(AVERAGE(IFERROR(VALUE(CQ10),""),IFERROR(VALUE(CX10),""),IFERROR(VALUE(DE10),""),IFERROR(VALUE(DM10),"")),"")</f>
        <v>0.8325</v>
      </c>
      <c r="EQ10" s="103">
        <f t="shared" si="35"/>
        <v>0.91925</v>
      </c>
      <c r="ER10" s="104">
        <f t="shared" ref="ER10:ES10" si="36">IFERROR(AVERAGE(IFERROR(VALUE(CU10),""),IFERROR(VALUE(DB10),""),IFERROR(VALUE(DI10),""),IFERROR(VALUE(DO10),"")),"")</f>
        <v>0.6465</v>
      </c>
      <c r="ES10" s="105">
        <f t="shared" si="36"/>
        <v>0.502</v>
      </c>
      <c r="ET10" s="106">
        <f t="shared" ref="ET10:EU10" si="37">IFERROR(AVERAGE(IFERROR(VALUE(CS10),""),IFERROR(VALUE(CZ10),""),IFERROR(VALUE(DG10),"")),"")</f>
        <v>0.5603333333</v>
      </c>
      <c r="EU10" s="107">
        <f t="shared" si="37"/>
        <v>0.1513333333</v>
      </c>
      <c r="EV10" s="51">
        <v>0.632</v>
      </c>
      <c r="EW10" s="51">
        <v>0.143</v>
      </c>
    </row>
    <row r="11">
      <c r="A11" s="52"/>
      <c r="B11" s="53" t="s">
        <v>261</v>
      </c>
      <c r="C11" s="25">
        <v>0.852</v>
      </c>
      <c r="D11" s="26" t="s">
        <v>143</v>
      </c>
      <c r="E11" s="26" t="s">
        <v>262</v>
      </c>
      <c r="F11" s="26" t="s">
        <v>263</v>
      </c>
      <c r="G11" s="26" t="s">
        <v>68</v>
      </c>
      <c r="H11" s="26">
        <v>0.318</v>
      </c>
      <c r="I11" s="26" t="s">
        <v>220</v>
      </c>
      <c r="J11" s="26" t="s">
        <v>264</v>
      </c>
      <c r="K11" s="26" t="s">
        <v>265</v>
      </c>
      <c r="L11" s="26" t="s">
        <v>266</v>
      </c>
      <c r="M11" s="26">
        <v>0.769</v>
      </c>
      <c r="N11" s="26" t="s">
        <v>267</v>
      </c>
      <c r="O11" s="26" t="s">
        <v>268</v>
      </c>
      <c r="P11" s="26" t="s">
        <v>269</v>
      </c>
      <c r="Q11" s="26" t="s">
        <v>270</v>
      </c>
      <c r="R11" s="26">
        <v>0.6615</v>
      </c>
      <c r="S11" s="26" t="s">
        <v>271</v>
      </c>
      <c r="T11" s="26" t="s">
        <v>272</v>
      </c>
      <c r="U11" s="26" t="s">
        <v>273</v>
      </c>
      <c r="V11" s="26" t="s">
        <v>274</v>
      </c>
      <c r="W11" s="26">
        <v>0.77</v>
      </c>
      <c r="X11" s="26" t="s">
        <v>169</v>
      </c>
      <c r="Y11" s="26" t="s">
        <v>275</v>
      </c>
      <c r="Z11" s="26" t="s">
        <v>276</v>
      </c>
      <c r="AA11" s="26" t="s">
        <v>277</v>
      </c>
      <c r="AB11" s="26">
        <v>0.858</v>
      </c>
      <c r="AC11" s="26" t="s">
        <v>116</v>
      </c>
      <c r="AD11" s="26" t="s">
        <v>278</v>
      </c>
      <c r="AE11" s="26" t="s">
        <v>279</v>
      </c>
      <c r="AF11" s="27" t="s">
        <v>280</v>
      </c>
      <c r="AG11" s="26">
        <v>0.465</v>
      </c>
      <c r="AH11" s="26" t="s">
        <v>281</v>
      </c>
      <c r="AI11" s="26" t="s">
        <v>111</v>
      </c>
      <c r="AJ11" s="26">
        <v>0.111</v>
      </c>
      <c r="AK11" s="72">
        <v>0.711</v>
      </c>
      <c r="AL11" s="72">
        <v>0.293</v>
      </c>
      <c r="AM11" s="26">
        <v>0.472</v>
      </c>
      <c r="AN11" s="26" t="s">
        <v>282</v>
      </c>
      <c r="AO11" s="26" t="s">
        <v>283</v>
      </c>
      <c r="AP11" s="26">
        <v>0.344</v>
      </c>
      <c r="AQ11" s="26" t="s">
        <v>284</v>
      </c>
      <c r="AR11" s="26" t="s">
        <v>285</v>
      </c>
      <c r="AS11" s="26">
        <v>0.309</v>
      </c>
      <c r="AT11" s="26" t="s">
        <v>286</v>
      </c>
      <c r="AU11" s="26" t="s">
        <v>287</v>
      </c>
      <c r="AV11" s="28">
        <v>0.142</v>
      </c>
      <c r="AW11" s="26" t="s">
        <v>119</v>
      </c>
      <c r="AX11" s="26" t="s">
        <v>288</v>
      </c>
      <c r="AY11" s="29">
        <v>0.044</v>
      </c>
      <c r="AZ11" s="26" t="s">
        <v>289</v>
      </c>
      <c r="BA11" s="26" t="s">
        <v>290</v>
      </c>
      <c r="BB11" s="29">
        <v>0.05</v>
      </c>
      <c r="BC11" s="26" t="s">
        <v>291</v>
      </c>
      <c r="BD11" s="26" t="s">
        <v>244</v>
      </c>
      <c r="BE11" s="29">
        <v>0.196</v>
      </c>
      <c r="BF11" s="26" t="s">
        <v>189</v>
      </c>
      <c r="BG11" s="26" t="s">
        <v>292</v>
      </c>
      <c r="BH11" s="29">
        <v>0.05</v>
      </c>
      <c r="BI11" s="26" t="s">
        <v>263</v>
      </c>
      <c r="BJ11" s="26" t="s">
        <v>189</v>
      </c>
      <c r="BK11" s="29">
        <v>0.081</v>
      </c>
      <c r="BL11" s="29">
        <v>0.74</v>
      </c>
      <c r="BM11" s="29">
        <v>0.776</v>
      </c>
      <c r="BN11" s="29">
        <v>0.082</v>
      </c>
      <c r="BO11" s="29">
        <v>0.714</v>
      </c>
      <c r="BP11" s="29">
        <v>0.82</v>
      </c>
      <c r="BQ11" s="26"/>
      <c r="BR11" s="26"/>
      <c r="BS11" s="27"/>
      <c r="BT11" s="26">
        <v>0.89</v>
      </c>
      <c r="BU11" s="26" t="s">
        <v>293</v>
      </c>
      <c r="BV11" s="26" t="s">
        <v>88</v>
      </c>
      <c r="BW11" s="26" t="s">
        <v>294</v>
      </c>
      <c r="BX11" s="26" t="s">
        <v>295</v>
      </c>
      <c r="BY11" s="26">
        <v>0.927</v>
      </c>
      <c r="BZ11" s="26" t="s">
        <v>194</v>
      </c>
      <c r="CA11" s="26" t="s">
        <v>291</v>
      </c>
      <c r="CB11" s="26" t="s">
        <v>296</v>
      </c>
      <c r="CC11" s="26" t="s">
        <v>297</v>
      </c>
      <c r="CD11" s="26" t="s">
        <v>298</v>
      </c>
      <c r="CE11" s="26" t="s">
        <v>299</v>
      </c>
      <c r="CF11" s="26" t="s">
        <v>703</v>
      </c>
      <c r="CG11" s="26" t="s">
        <v>300</v>
      </c>
      <c r="CH11" s="4"/>
      <c r="CI11" s="4"/>
      <c r="CJ11" s="4"/>
      <c r="CK11" s="4"/>
      <c r="CL11" s="4"/>
      <c r="CM11" s="144">
        <v>0.621</v>
      </c>
      <c r="CN11" s="144">
        <v>0.661</v>
      </c>
      <c r="CO11" s="144">
        <v>0.318</v>
      </c>
      <c r="CP11" s="144">
        <v>0.089</v>
      </c>
      <c r="CQ11" s="145">
        <v>0.684</v>
      </c>
      <c r="CR11" s="4">
        <v>0.825</v>
      </c>
      <c r="CS11" s="4">
        <v>0.521</v>
      </c>
      <c r="CT11" s="4">
        <v>0.117</v>
      </c>
      <c r="CU11" s="4">
        <v>0.374</v>
      </c>
      <c r="CV11" s="4">
        <v>0.181</v>
      </c>
      <c r="CW11" s="4">
        <v>0.23</v>
      </c>
      <c r="CX11" s="4">
        <v>0.875</v>
      </c>
      <c r="CY11" s="4">
        <v>0.943</v>
      </c>
      <c r="CZ11" s="4">
        <v>0.634</v>
      </c>
      <c r="DA11" s="4">
        <v>0.192</v>
      </c>
      <c r="DB11" s="4">
        <v>0.794</v>
      </c>
      <c r="DC11" s="4">
        <v>0.656</v>
      </c>
      <c r="DD11" s="4">
        <v>0.292</v>
      </c>
      <c r="DE11" s="4">
        <v>0.654</v>
      </c>
      <c r="DF11" s="4">
        <v>0.738</v>
      </c>
      <c r="DG11" s="4">
        <v>0.492</v>
      </c>
      <c r="DH11" s="4">
        <v>0.084</v>
      </c>
      <c r="DI11" s="4">
        <v>0.243</v>
      </c>
      <c r="DJ11" s="4">
        <v>0.113</v>
      </c>
      <c r="DK11" s="4">
        <v>0.118</v>
      </c>
      <c r="DL11" s="4">
        <v>0.967</v>
      </c>
      <c r="DM11" s="4" t="s">
        <v>301</v>
      </c>
      <c r="DN11" s="4" t="s">
        <v>302</v>
      </c>
      <c r="DO11" s="4" t="s">
        <v>303</v>
      </c>
      <c r="DP11" s="238" t="s">
        <v>304</v>
      </c>
      <c r="DQ11" s="352">
        <v>0.35</v>
      </c>
      <c r="DR11" s="352">
        <v>0.622</v>
      </c>
      <c r="DS11" s="352">
        <v>0.706</v>
      </c>
      <c r="DT11" s="352">
        <v>0.151</v>
      </c>
      <c r="DU11" s="352">
        <v>0.038</v>
      </c>
      <c r="DZ11" s="108">
        <f t="shared" ref="DZ11:ED11" si="38">IFERROR(AVERAGE(IFERROR(VALUE(C11),""),IFERROR(VALUE(H11),""),IFERROR(VALUE(M11),""),IFERROR(VALUE(R11),""),IFERROR(VALUE(W11),""),IFERROR(VALUE(AB11),"")),"")</f>
        <v>0.70475</v>
      </c>
      <c r="EA11" s="109">
        <f t="shared" si="38"/>
        <v>0.6465</v>
      </c>
      <c r="EB11" s="110">
        <f t="shared" si="38"/>
        <v>0.4915</v>
      </c>
      <c r="EC11" s="111">
        <f t="shared" si="38"/>
        <v>0.41</v>
      </c>
      <c r="ED11" s="71">
        <f t="shared" si="38"/>
        <v>0.1106666667</v>
      </c>
      <c r="EE11" s="33">
        <f t="shared" ref="EE11:EG11" si="39">IFERROR(AVERAGE(IFERROR(VALUE(AG11),""),IFERROR(VALUE(AJ11),""),IFERROR(VALUE(AM11),""),IFERROR(VALUE(AP11),""),IFERROR(VALUE(AS11),"")),"")</f>
        <v>0.3402</v>
      </c>
      <c r="EF11" s="38">
        <f t="shared" si="39"/>
        <v>0.689</v>
      </c>
      <c r="EG11" s="112">
        <f t="shared" si="39"/>
        <v>0.6342</v>
      </c>
      <c r="EH11" s="38">
        <v>0.67</v>
      </c>
      <c r="EI11" s="113">
        <v>0.774</v>
      </c>
      <c r="EJ11" s="114">
        <f t="shared" si="8"/>
        <v>0.6056666667</v>
      </c>
      <c r="EK11" s="115">
        <f t="shared" si="9"/>
        <v>0.508</v>
      </c>
      <c r="EL11" s="116">
        <f t="shared" si="10"/>
        <v>0.46925</v>
      </c>
      <c r="EM11" s="117">
        <f t="shared" si="11"/>
        <v>0.26375</v>
      </c>
      <c r="EN11" s="118">
        <f t="shared" si="12"/>
        <v>0.1005</v>
      </c>
      <c r="EO11" s="119">
        <v>0.967</v>
      </c>
      <c r="EP11" s="35">
        <f t="shared" ref="EP11:EQ11" si="40">IFERROR(AVERAGE(IFERROR(VALUE(CQ11),""),IFERROR(VALUE(CX11),""),IFERROR(VALUE(DE11),""),IFERROR(VALUE(DM11),"")),"")</f>
        <v>0.76325</v>
      </c>
      <c r="EQ11" s="84">
        <f t="shared" si="40"/>
        <v>0.85975</v>
      </c>
      <c r="ER11" s="83">
        <f t="shared" ref="ER11:ES11" si="41">IFERROR(AVERAGE(IFERROR(VALUE(CU11),""),IFERROR(VALUE(DB11),""),IFERROR(VALUE(DI11),""),IFERROR(VALUE(DO11),"")),"")</f>
        <v>0.505</v>
      </c>
      <c r="ES11" s="34">
        <f t="shared" si="41"/>
        <v>0.373</v>
      </c>
      <c r="ET11" s="120">
        <f t="shared" ref="ET11:EU11" si="42">IFERROR(AVERAGE(IFERROR(VALUE(CS11),""),IFERROR(VALUE(CZ11),""),IFERROR(VALUE(DG11),"")),"")</f>
        <v>0.549</v>
      </c>
      <c r="EU11" s="121">
        <f t="shared" si="42"/>
        <v>0.131</v>
      </c>
      <c r="EV11" s="51">
        <v>0.623</v>
      </c>
      <c r="EW11" s="51">
        <v>0.092</v>
      </c>
    </row>
    <row r="12">
      <c r="A12" s="52"/>
      <c r="B12" s="53" t="s">
        <v>305</v>
      </c>
      <c r="C12" s="25">
        <v>0.926</v>
      </c>
      <c r="D12" s="26" t="s">
        <v>306</v>
      </c>
      <c r="E12" s="26" t="s">
        <v>307</v>
      </c>
      <c r="F12" s="26" t="s">
        <v>140</v>
      </c>
      <c r="G12" s="26" t="s">
        <v>308</v>
      </c>
      <c r="H12" s="26">
        <v>0.58</v>
      </c>
      <c r="I12" s="26" t="s">
        <v>309</v>
      </c>
      <c r="J12" s="26" t="s">
        <v>310</v>
      </c>
      <c r="K12" s="26" t="s">
        <v>311</v>
      </c>
      <c r="L12" s="26" t="s">
        <v>312</v>
      </c>
      <c r="M12" s="26">
        <v>0.804</v>
      </c>
      <c r="N12" s="26" t="s">
        <v>146</v>
      </c>
      <c r="O12" s="26" t="s">
        <v>313</v>
      </c>
      <c r="P12" s="26" t="s">
        <v>212</v>
      </c>
      <c r="Q12" s="26" t="s">
        <v>314</v>
      </c>
      <c r="R12" s="26">
        <v>0.72</v>
      </c>
      <c r="S12" s="26" t="s">
        <v>148</v>
      </c>
      <c r="T12" s="26" t="s">
        <v>202</v>
      </c>
      <c r="U12" s="26" t="s">
        <v>257</v>
      </c>
      <c r="V12" s="26" t="s">
        <v>172</v>
      </c>
      <c r="W12" s="26">
        <v>0.885</v>
      </c>
      <c r="X12" s="26" t="s">
        <v>208</v>
      </c>
      <c r="Y12" s="26" t="s">
        <v>200</v>
      </c>
      <c r="Z12" s="26" t="s">
        <v>294</v>
      </c>
      <c r="AA12" s="26" t="s">
        <v>315</v>
      </c>
      <c r="AB12" s="26">
        <v>0.912</v>
      </c>
      <c r="AC12" s="26" t="s">
        <v>316</v>
      </c>
      <c r="AD12" s="26" t="s">
        <v>317</v>
      </c>
      <c r="AE12" s="26" t="s">
        <v>318</v>
      </c>
      <c r="AF12" s="27" t="s">
        <v>319</v>
      </c>
      <c r="AG12" s="26">
        <v>0.601</v>
      </c>
      <c r="AH12" s="26" t="s">
        <v>222</v>
      </c>
      <c r="AI12" s="26" t="s">
        <v>320</v>
      </c>
      <c r="AJ12" s="26">
        <v>0.124</v>
      </c>
      <c r="AK12" s="26" t="s">
        <v>283</v>
      </c>
      <c r="AL12" s="26" t="s">
        <v>321</v>
      </c>
      <c r="AM12" s="26">
        <v>0.596</v>
      </c>
      <c r="AN12" s="26" t="s">
        <v>279</v>
      </c>
      <c r="AO12" s="26" t="s">
        <v>322</v>
      </c>
      <c r="AP12" s="26">
        <v>0.159</v>
      </c>
      <c r="AQ12" s="26" t="s">
        <v>137</v>
      </c>
      <c r="AR12" s="26" t="s">
        <v>244</v>
      </c>
      <c r="AS12" s="26">
        <v>0.447</v>
      </c>
      <c r="AT12" s="26" t="s">
        <v>323</v>
      </c>
      <c r="AU12" s="26" t="s">
        <v>324</v>
      </c>
      <c r="AV12" s="28">
        <v>0.244</v>
      </c>
      <c r="AW12" s="26" t="s">
        <v>176</v>
      </c>
      <c r="AX12" s="26" t="s">
        <v>325</v>
      </c>
      <c r="AY12" s="29">
        <v>0.132</v>
      </c>
      <c r="AZ12" s="26" t="s">
        <v>326</v>
      </c>
      <c r="BA12" s="26" t="s">
        <v>327</v>
      </c>
      <c r="BB12" s="29">
        <v>0.177</v>
      </c>
      <c r="BC12" s="26" t="s">
        <v>328</v>
      </c>
      <c r="BD12" s="26" t="s">
        <v>329</v>
      </c>
      <c r="BE12" s="29">
        <v>0.419</v>
      </c>
      <c r="BF12" s="26" t="s">
        <v>330</v>
      </c>
      <c r="BG12" s="26" t="s">
        <v>331</v>
      </c>
      <c r="BH12" s="29">
        <v>0.251</v>
      </c>
      <c r="BI12" s="26" t="s">
        <v>332</v>
      </c>
      <c r="BJ12" s="26" t="s">
        <v>333</v>
      </c>
      <c r="BK12" s="29">
        <v>0.143</v>
      </c>
      <c r="BL12" s="30">
        <v>0.749</v>
      </c>
      <c r="BM12" s="30">
        <v>0.844</v>
      </c>
      <c r="BN12" s="29">
        <v>0.197</v>
      </c>
      <c r="BO12" s="29">
        <v>0.796</v>
      </c>
      <c r="BP12" s="29">
        <v>0.869</v>
      </c>
      <c r="BQ12" s="26"/>
      <c r="BR12" s="26"/>
      <c r="BS12" s="27"/>
      <c r="BT12" s="26">
        <v>0.885</v>
      </c>
      <c r="BU12" s="26" t="s">
        <v>334</v>
      </c>
      <c r="BV12" s="26" t="s">
        <v>335</v>
      </c>
      <c r="BW12" s="26" t="s">
        <v>336</v>
      </c>
      <c r="BX12" s="26" t="s">
        <v>337</v>
      </c>
      <c r="BY12" s="26">
        <v>0.916</v>
      </c>
      <c r="BZ12" s="26" t="s">
        <v>338</v>
      </c>
      <c r="CA12" s="26" t="s">
        <v>306</v>
      </c>
      <c r="CB12" s="26" t="s">
        <v>339</v>
      </c>
      <c r="CC12" s="26" t="s">
        <v>340</v>
      </c>
      <c r="CD12" s="26" t="s">
        <v>341</v>
      </c>
      <c r="CE12" s="26" t="s">
        <v>137</v>
      </c>
      <c r="CF12" s="26" t="s">
        <v>311</v>
      </c>
      <c r="CG12" s="26" t="s">
        <v>342</v>
      </c>
      <c r="CH12" s="4">
        <v>0.9445296524</v>
      </c>
      <c r="CI12" s="4">
        <v>0.9429376853</v>
      </c>
      <c r="CJ12" s="4">
        <v>0.9097648262</v>
      </c>
      <c r="CK12" s="4">
        <v>0.834580873</v>
      </c>
      <c r="CL12" s="4">
        <v>0.617049719</v>
      </c>
      <c r="CM12" s="144">
        <v>0.736</v>
      </c>
      <c r="CN12" s="144">
        <v>0.776</v>
      </c>
      <c r="CO12" s="144">
        <v>0.438</v>
      </c>
      <c r="CP12" s="144">
        <v>0.16</v>
      </c>
      <c r="CQ12" s="145">
        <v>0.916</v>
      </c>
      <c r="CR12" s="4">
        <v>0.99</v>
      </c>
      <c r="CS12" s="4">
        <v>0.489</v>
      </c>
      <c r="CT12" s="4">
        <v>0.094</v>
      </c>
      <c r="CU12" s="4">
        <v>0.921</v>
      </c>
      <c r="CV12" s="4">
        <v>0.876</v>
      </c>
      <c r="CW12" s="4">
        <v>0.185</v>
      </c>
      <c r="CX12" s="4">
        <v>0.942</v>
      </c>
      <c r="CY12" s="4">
        <v>0.98</v>
      </c>
      <c r="CZ12" s="4">
        <v>0.711</v>
      </c>
      <c r="DA12" s="4">
        <v>0.363</v>
      </c>
      <c r="DB12" s="4">
        <v>0.931</v>
      </c>
      <c r="DC12" s="4">
        <v>0.849</v>
      </c>
      <c r="DD12" s="4">
        <v>0.359</v>
      </c>
      <c r="DE12" s="4">
        <v>0.844</v>
      </c>
      <c r="DF12" s="4">
        <v>0.952</v>
      </c>
      <c r="DG12" s="4">
        <v>0.524</v>
      </c>
      <c r="DH12" s="4">
        <v>0.166</v>
      </c>
      <c r="DI12" s="4">
        <v>0.706</v>
      </c>
      <c r="DJ12" s="4">
        <v>0.582</v>
      </c>
      <c r="DK12" s="4">
        <v>0.112</v>
      </c>
      <c r="DL12" s="4">
        <v>0.984</v>
      </c>
      <c r="DM12" s="4" t="s">
        <v>343</v>
      </c>
      <c r="DN12" s="4" t="s">
        <v>316</v>
      </c>
      <c r="DO12" s="4" t="s">
        <v>168</v>
      </c>
      <c r="DP12" s="238" t="s">
        <v>137</v>
      </c>
      <c r="DQ12" s="352">
        <v>0.29</v>
      </c>
      <c r="DR12" s="352">
        <v>0.875</v>
      </c>
      <c r="DS12" s="352">
        <v>0.921</v>
      </c>
      <c r="DT12" s="352">
        <v>0.837</v>
      </c>
      <c r="DU12" s="352">
        <v>0.772</v>
      </c>
      <c r="DZ12" s="122">
        <f t="shared" ref="DZ12:ED12" si="43">IFERROR(AVERAGE(IFERROR(VALUE(C12),""),IFERROR(VALUE(H12),""),IFERROR(VALUE(M12),""),IFERROR(VALUE(R12),""),IFERROR(VALUE(W12),""),IFERROR(VALUE(AB12),"")),"")</f>
        <v>0.8045</v>
      </c>
      <c r="EA12" s="123">
        <f t="shared" si="43"/>
        <v>0.7736666667</v>
      </c>
      <c r="EB12" s="124">
        <f t="shared" si="43"/>
        <v>0.6703333333</v>
      </c>
      <c r="EC12" s="125">
        <f t="shared" si="43"/>
        <v>0.5596666667</v>
      </c>
      <c r="ED12" s="126">
        <f t="shared" si="43"/>
        <v>0.2716666667</v>
      </c>
      <c r="EE12" s="127">
        <f t="shared" ref="EE12:EG12" si="44">IFERROR(AVERAGE(IFERROR(VALUE(AG12),""),IFERROR(VALUE(AJ12),""),IFERROR(VALUE(AM12),""),IFERROR(VALUE(AP12),""),IFERROR(VALUE(AS12),"")),"")</f>
        <v>0.3854</v>
      </c>
      <c r="EF12" s="128">
        <f t="shared" si="44"/>
        <v>0.7244</v>
      </c>
      <c r="EG12" s="129">
        <f t="shared" si="44"/>
        <v>0.6614</v>
      </c>
      <c r="EH12" s="130">
        <v>0.723</v>
      </c>
      <c r="EI12" s="131">
        <v>0.85</v>
      </c>
      <c r="EJ12" s="132">
        <f t="shared" si="8"/>
        <v>0.9151765508</v>
      </c>
      <c r="EK12" s="133">
        <f t="shared" si="9"/>
        <v>0.8112344213</v>
      </c>
      <c r="EL12" s="134">
        <f t="shared" si="10"/>
        <v>0.7961912066</v>
      </c>
      <c r="EM12" s="135">
        <f t="shared" si="11"/>
        <v>0.5523952183</v>
      </c>
      <c r="EN12" s="136">
        <f t="shared" si="12"/>
        <v>0.3210124298</v>
      </c>
      <c r="EO12" s="137">
        <v>0.984</v>
      </c>
      <c r="EP12" s="138">
        <f t="shared" ref="EP12:EQ12" si="45">IFERROR(AVERAGE(IFERROR(VALUE(CQ12),""),IFERROR(VALUE(CX12),""),IFERROR(VALUE(DE12),""),IFERROR(VALUE(DM12),"")),"")</f>
        <v>0.88975</v>
      </c>
      <c r="EQ12" s="139">
        <f t="shared" si="45"/>
        <v>0.96825</v>
      </c>
      <c r="ER12" s="138">
        <f t="shared" ref="ER12:ES12" si="46">IFERROR(AVERAGE(IFERROR(VALUE(CU12),""),IFERROR(VALUE(DB12),""),IFERROR(VALUE(DI12),""),IFERROR(VALUE(DO12),"")),"")</f>
        <v>0.8075</v>
      </c>
      <c r="ES12" s="138">
        <f t="shared" si="46"/>
        <v>0.7335</v>
      </c>
      <c r="ET12" s="140">
        <f t="shared" ref="ET12:EU12" si="47">IFERROR(AVERAGE(IFERROR(VALUE(CS12),""),IFERROR(VALUE(CZ12),""),IFERROR(VALUE(DG12),"")),"")</f>
        <v>0.5746666667</v>
      </c>
      <c r="EU12" s="141">
        <f t="shared" si="47"/>
        <v>0.2076666667</v>
      </c>
      <c r="EV12" s="51">
        <v>0.646</v>
      </c>
      <c r="EW12" s="51">
        <v>0.223</v>
      </c>
    </row>
    <row r="13">
      <c r="A13" s="52"/>
      <c r="B13" s="142" t="s">
        <v>344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7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8"/>
      <c r="AW13" s="26"/>
      <c r="AX13" s="26"/>
      <c r="AY13" s="29"/>
      <c r="AZ13" s="26"/>
      <c r="BA13" s="26"/>
      <c r="BB13" s="29"/>
      <c r="BC13" s="26"/>
      <c r="BD13" s="26"/>
      <c r="BE13" s="29"/>
      <c r="BF13" s="26"/>
      <c r="BG13" s="26"/>
      <c r="BH13" s="29"/>
      <c r="BI13" s="26"/>
      <c r="BJ13" s="26"/>
      <c r="BK13" s="29"/>
      <c r="BL13" s="29"/>
      <c r="BM13" s="29"/>
      <c r="BN13" s="29"/>
      <c r="BO13" s="29"/>
      <c r="BP13" s="29"/>
      <c r="BQ13" s="26"/>
      <c r="BR13" s="26"/>
      <c r="BS13" s="27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144"/>
      <c r="CI13" s="144"/>
      <c r="CJ13" s="144"/>
      <c r="CK13" s="144"/>
      <c r="CL13" s="144"/>
      <c r="CM13" s="144"/>
      <c r="CN13" s="144"/>
      <c r="CO13" s="144"/>
      <c r="CP13" s="144"/>
      <c r="CQ13" s="29">
        <v>0.835</v>
      </c>
      <c r="CR13" s="29">
        <v>0.935</v>
      </c>
      <c r="CS13" s="29">
        <v>0.55</v>
      </c>
      <c r="CT13" s="29">
        <v>0.148</v>
      </c>
      <c r="CU13" s="29">
        <v>0.711</v>
      </c>
      <c r="CV13" s="29">
        <v>0.56</v>
      </c>
      <c r="CW13" s="29">
        <v>0.28</v>
      </c>
      <c r="CX13" s="29">
        <v>0.912</v>
      </c>
      <c r="CY13" s="29">
        <v>0.956</v>
      </c>
      <c r="CZ13" s="29">
        <v>0.713</v>
      </c>
      <c r="DA13" s="29">
        <v>0.365</v>
      </c>
      <c r="DB13" s="29">
        <v>0.84</v>
      </c>
      <c r="DC13" s="29">
        <v>0.727</v>
      </c>
      <c r="DD13" s="29">
        <v>0.383</v>
      </c>
      <c r="DE13" s="29">
        <v>0.655</v>
      </c>
      <c r="DF13" s="29">
        <v>0.783</v>
      </c>
      <c r="DG13" s="29">
        <v>0.518</v>
      </c>
      <c r="DH13" s="29">
        <v>0.228</v>
      </c>
      <c r="DI13" s="29">
        <v>0.244</v>
      </c>
      <c r="DJ13" s="29">
        <v>0.091</v>
      </c>
      <c r="DK13" s="29">
        <v>0.179</v>
      </c>
      <c r="DL13" s="26"/>
      <c r="DM13" s="26"/>
      <c r="DN13" s="26"/>
      <c r="DO13" s="26"/>
      <c r="DP13" s="27"/>
      <c r="DQ13" s="4"/>
      <c r="DR13" s="4"/>
      <c r="DS13" s="4"/>
      <c r="DT13" s="4"/>
      <c r="DU13" s="4"/>
      <c r="DZ13" s="147"/>
      <c r="EA13" s="148"/>
      <c r="EB13" s="149"/>
      <c r="EC13" s="150"/>
      <c r="ED13" s="151"/>
      <c r="EE13" s="152"/>
      <c r="EF13" s="83"/>
      <c r="EG13" s="153"/>
      <c r="EH13" s="83"/>
      <c r="EI13" s="154"/>
      <c r="EJ13" s="155"/>
      <c r="EK13" s="156"/>
      <c r="EL13" s="157"/>
      <c r="EM13" s="158"/>
      <c r="EN13" s="159"/>
      <c r="EO13" s="137"/>
      <c r="EP13" s="160"/>
      <c r="EQ13" s="161"/>
      <c r="ER13" s="162"/>
      <c r="ES13" s="163"/>
      <c r="ET13" s="138"/>
      <c r="EU13" s="164"/>
      <c r="EV13" s="51"/>
      <c r="EW13" s="51"/>
    </row>
    <row r="14">
      <c r="A14" s="52"/>
      <c r="B14" s="53" t="s">
        <v>345</v>
      </c>
      <c r="C14" s="25">
        <v>0.897</v>
      </c>
      <c r="D14" s="26" t="s">
        <v>346</v>
      </c>
      <c r="E14" s="26" t="s">
        <v>93</v>
      </c>
      <c r="F14" s="26" t="s">
        <v>347</v>
      </c>
      <c r="G14" s="26" t="s">
        <v>348</v>
      </c>
      <c r="H14" s="26">
        <v>0.702</v>
      </c>
      <c r="I14" s="26" t="s">
        <v>349</v>
      </c>
      <c r="J14" s="26" t="s">
        <v>194</v>
      </c>
      <c r="K14" s="26" t="s">
        <v>350</v>
      </c>
      <c r="L14" s="26" t="s">
        <v>73</v>
      </c>
      <c r="M14" s="26">
        <v>0.782</v>
      </c>
      <c r="N14" s="26" t="s">
        <v>147</v>
      </c>
      <c r="O14" s="26" t="s">
        <v>176</v>
      </c>
      <c r="P14" s="26" t="s">
        <v>351</v>
      </c>
      <c r="Q14" s="26" t="s">
        <v>352</v>
      </c>
      <c r="R14" s="26">
        <v>0.706</v>
      </c>
      <c r="S14" s="26" t="s">
        <v>187</v>
      </c>
      <c r="T14" s="26" t="s">
        <v>353</v>
      </c>
      <c r="U14" s="26" t="s">
        <v>354</v>
      </c>
      <c r="V14" s="26" t="s">
        <v>355</v>
      </c>
      <c r="W14" s="26">
        <v>0.885</v>
      </c>
      <c r="X14" s="26" t="s">
        <v>338</v>
      </c>
      <c r="Y14" s="26" t="s">
        <v>116</v>
      </c>
      <c r="Z14" s="26" t="s">
        <v>356</v>
      </c>
      <c r="AA14" s="26" t="s">
        <v>357</v>
      </c>
      <c r="AB14" s="26">
        <v>0.805</v>
      </c>
      <c r="AC14" s="26" t="s">
        <v>358</v>
      </c>
      <c r="AD14" s="26" t="s">
        <v>80</v>
      </c>
      <c r="AE14" s="26" t="s">
        <v>194</v>
      </c>
      <c r="AF14" s="27" t="s">
        <v>359</v>
      </c>
      <c r="AG14" s="26">
        <v>0.648</v>
      </c>
      <c r="AH14" s="26" t="s">
        <v>142</v>
      </c>
      <c r="AI14" s="26" t="s">
        <v>360</v>
      </c>
      <c r="AJ14" s="26">
        <v>0.148</v>
      </c>
      <c r="AK14" s="26" t="s">
        <v>361</v>
      </c>
      <c r="AL14" s="26" t="s">
        <v>362</v>
      </c>
      <c r="AM14" s="26">
        <v>0.431</v>
      </c>
      <c r="AN14" s="26" t="s">
        <v>363</v>
      </c>
      <c r="AO14" s="26" t="s">
        <v>364</v>
      </c>
      <c r="AP14" s="26">
        <v>0.279</v>
      </c>
      <c r="AQ14" s="26" t="s">
        <v>82</v>
      </c>
      <c r="AR14" s="26" t="s">
        <v>271</v>
      </c>
      <c r="AS14" s="26">
        <v>0.455</v>
      </c>
      <c r="AT14" s="26" t="s">
        <v>162</v>
      </c>
      <c r="AU14" s="26" t="s">
        <v>85</v>
      </c>
      <c r="AV14" s="28"/>
      <c r="AW14" s="26" t="s">
        <v>233</v>
      </c>
      <c r="AX14" s="26" t="s">
        <v>365</v>
      </c>
      <c r="AY14" s="29"/>
      <c r="AZ14" s="26" t="s">
        <v>229</v>
      </c>
      <c r="BA14" s="26" t="s">
        <v>199</v>
      </c>
      <c r="BB14" s="29"/>
      <c r="BC14" s="26" t="s">
        <v>366</v>
      </c>
      <c r="BD14" s="26" t="s">
        <v>367</v>
      </c>
      <c r="BE14" s="29"/>
      <c r="BF14" s="26" t="s">
        <v>368</v>
      </c>
      <c r="BG14" s="26" t="s">
        <v>367</v>
      </c>
      <c r="BH14" s="29"/>
      <c r="BI14" s="26" t="s">
        <v>369</v>
      </c>
      <c r="BJ14" s="26" t="s">
        <v>351</v>
      </c>
      <c r="BK14" s="29"/>
      <c r="BL14" s="29"/>
      <c r="BM14" s="29"/>
      <c r="BN14" s="29"/>
      <c r="BO14" s="29"/>
      <c r="BP14" s="29"/>
      <c r="BQ14" s="26"/>
      <c r="BR14" s="26"/>
      <c r="BS14" s="27"/>
      <c r="BT14" s="26">
        <v>0.916</v>
      </c>
      <c r="BU14" s="26" t="s">
        <v>162</v>
      </c>
      <c r="BV14" s="26" t="s">
        <v>370</v>
      </c>
      <c r="BW14" s="26" t="s">
        <v>121</v>
      </c>
      <c r="BX14" s="26" t="s">
        <v>371</v>
      </c>
      <c r="BY14" s="26">
        <v>0.956</v>
      </c>
      <c r="BZ14" s="26" t="s">
        <v>154</v>
      </c>
      <c r="CA14" s="26" t="s">
        <v>241</v>
      </c>
      <c r="CB14" s="26" t="s">
        <v>372</v>
      </c>
      <c r="CC14" s="26" t="s">
        <v>373</v>
      </c>
      <c r="CD14" s="26" t="s">
        <v>318</v>
      </c>
      <c r="CE14" s="26" t="s">
        <v>374</v>
      </c>
      <c r="CF14" s="26" t="s">
        <v>375</v>
      </c>
      <c r="CG14" s="26" t="s">
        <v>276</v>
      </c>
      <c r="CH14" s="144">
        <v>1.0</v>
      </c>
      <c r="CI14" s="144">
        <v>0.987</v>
      </c>
      <c r="CJ14" s="144">
        <v>0.996</v>
      </c>
      <c r="CK14" s="144">
        <v>0.911</v>
      </c>
      <c r="CL14" s="144">
        <v>0.701</v>
      </c>
      <c r="CM14" s="144">
        <v>0.689</v>
      </c>
      <c r="CN14" s="144">
        <v>0.72</v>
      </c>
      <c r="CO14" s="144">
        <v>0.353</v>
      </c>
      <c r="CP14" s="144">
        <v>0.108</v>
      </c>
      <c r="CQ14" s="396">
        <v>0.862</v>
      </c>
      <c r="CR14" s="352">
        <v>0.98</v>
      </c>
      <c r="CS14" s="352">
        <v>0.555</v>
      </c>
      <c r="CT14" s="352">
        <v>0.129</v>
      </c>
      <c r="CU14" s="352">
        <v>0.883</v>
      </c>
      <c r="CV14" s="352">
        <v>0.758</v>
      </c>
      <c r="CW14" s="352">
        <v>0.2</v>
      </c>
      <c r="CX14" s="352">
        <v>0.968</v>
      </c>
      <c r="CY14" s="352">
        <v>0.988</v>
      </c>
      <c r="CZ14" s="352">
        <v>0.801</v>
      </c>
      <c r="DA14" s="352">
        <v>0.462</v>
      </c>
      <c r="DB14" s="352">
        <v>0.933</v>
      </c>
      <c r="DC14" s="352">
        <v>0.865</v>
      </c>
      <c r="DD14" s="352">
        <v>0.501</v>
      </c>
      <c r="DE14" s="352">
        <v>0.751</v>
      </c>
      <c r="DF14" s="352">
        <v>0.92</v>
      </c>
      <c r="DG14" s="352">
        <v>0.558</v>
      </c>
      <c r="DH14" s="352">
        <v>0.272</v>
      </c>
      <c r="DI14" s="352">
        <v>0.494</v>
      </c>
      <c r="DJ14" s="352">
        <v>0.286</v>
      </c>
      <c r="DK14" s="352">
        <v>0.204</v>
      </c>
      <c r="DL14" s="4">
        <v>0.984</v>
      </c>
      <c r="DM14" s="4" t="s">
        <v>376</v>
      </c>
      <c r="DN14" s="4" t="s">
        <v>134</v>
      </c>
      <c r="DO14" s="4" t="s">
        <v>201</v>
      </c>
      <c r="DP14" s="238" t="s">
        <v>303</v>
      </c>
      <c r="DQ14" s="352">
        <v>0.36</v>
      </c>
      <c r="DR14" s="352">
        <v>0.734</v>
      </c>
      <c r="DS14" s="352">
        <v>0.881</v>
      </c>
      <c r="DT14" s="352">
        <v>0.452</v>
      </c>
      <c r="DU14" s="352">
        <v>0.251</v>
      </c>
      <c r="DZ14" s="147">
        <f t="shared" ref="DZ14:ED14" si="48">IFERROR(AVERAGE(IFERROR(VALUE(C14),""),IFERROR(VALUE(H14),""),IFERROR(VALUE(M14),""),IFERROR(VALUE(R14),""),IFERROR(VALUE(W14),""),IFERROR(VALUE(AB14),"")),"")</f>
        <v>0.7961666667</v>
      </c>
      <c r="EA14" s="148">
        <f t="shared" si="48"/>
        <v>0.772</v>
      </c>
      <c r="EB14" s="149">
        <f t="shared" si="48"/>
        <v>0.6865</v>
      </c>
      <c r="EC14" s="150">
        <f t="shared" si="48"/>
        <v>0.5233333333</v>
      </c>
      <c r="ED14" s="151">
        <f t="shared" si="48"/>
        <v>0.192</v>
      </c>
      <c r="EE14" s="152">
        <f t="shared" ref="EE14:EG14" si="49">IFERROR(AVERAGE(IFERROR(VALUE(AG14),""),IFERROR(VALUE(AJ14),""),IFERROR(VALUE(AM14),""),IFERROR(VALUE(AP14),""),IFERROR(VALUE(AS14),"")),"")</f>
        <v>0.3922</v>
      </c>
      <c r="EF14" s="83">
        <f t="shared" si="49"/>
        <v>0.6866</v>
      </c>
      <c r="EG14" s="153">
        <f t="shared" si="49"/>
        <v>0.6</v>
      </c>
      <c r="EH14" s="83">
        <v>0.667</v>
      </c>
      <c r="EI14" s="154">
        <v>0.74</v>
      </c>
      <c r="EJ14" s="155">
        <f t="shared" ref="EJ14:EJ18" si="55">IFERROR(AVERAGE(IFERROR(VALUE(BT14),""),IFERROR(VALUE(BY14),""),IFERROR(VALUE(CH14),"")),"")</f>
        <v>0.9573333333</v>
      </c>
      <c r="EK14" s="156">
        <f t="shared" ref="EK14:EK18" si="56">IFERROR(AVERAGE(IFERROR(VALUE(BZ14),""),IFERROR(VALUE(CD14),""),IFERROR(VALUE(CI14),""),IFERROR(VALUE(CM14),"")),"")</f>
        <v>0.79525</v>
      </c>
      <c r="EL14" s="157">
        <f t="shared" ref="EL14:EL18" si="57">IFERROR(AVERAGE(IFERROR(VALUE(CA14),""),IFERROR(VALUE(CE14),""),IFERROR(VALUE(CJ14),""), IFERROR(VALUE(CN14),"")),"")</f>
        <v>0.7925</v>
      </c>
      <c r="EM14" s="158">
        <f t="shared" ref="EM14:EM18" si="58">IFERROR(AVERAGE(IFERROR(VALUE(CB14),""),IFERROR(VALUE(CF14),""),IFERROR(VALUE(CK14),""),IFERROR(VALUE(CO14),"")),"")</f>
        <v>0.54525</v>
      </c>
      <c r="EN14" s="159">
        <f t="shared" ref="EN14:EN18" si="59">IFERROR(AVERAGE(IFERROR(VALUE(CC14),""),IFERROR(VALUE(CG14),""),IFERROR(VALUE(CL14),""), IFERROR(VALUE(CP14),"")),"")</f>
        <v>0.30175</v>
      </c>
      <c r="EO14" s="137">
        <v>0.984</v>
      </c>
      <c r="EP14" s="160">
        <f t="shared" ref="EP14:EQ14" si="50">IFERROR(AVERAGE(IFERROR(VALUE(CQ14),""),IFERROR(VALUE(CX14),""),IFERROR(VALUE(DE14),""),IFERROR(VALUE(DM14),"")),"")</f>
        <v>0.87425</v>
      </c>
      <c r="EQ14" s="161">
        <f t="shared" si="50"/>
        <v>0.9565</v>
      </c>
      <c r="ER14" s="162">
        <f t="shared" ref="ER14:ES14" si="51">IFERROR(AVERAGE(IFERROR(VALUE(CU14),""),IFERROR(VALUE(DB14),""),IFERROR(VALUE(DI14),""),IFERROR(VALUE(DO14),"")),"")</f>
        <v>0.75075</v>
      </c>
      <c r="ES14" s="163">
        <f t="shared" si="51"/>
        <v>0.6295</v>
      </c>
      <c r="ET14" s="138">
        <f t="shared" ref="ET14:EU14" si="52">IFERROR(AVERAGE(IFERROR(VALUE(CS14),""),IFERROR(VALUE(CZ14),""),IFERROR(VALUE(DG14),"")),"")</f>
        <v>0.638</v>
      </c>
      <c r="EU14" s="164">
        <f t="shared" si="52"/>
        <v>0.2876666667</v>
      </c>
      <c r="EV14" s="51">
        <v>0.708</v>
      </c>
      <c r="EW14" s="51"/>
    </row>
    <row r="15">
      <c r="A15" s="166"/>
      <c r="B15" s="167" t="s">
        <v>377</v>
      </c>
      <c r="C15" s="25">
        <v>0.831</v>
      </c>
      <c r="D15" s="26" t="s">
        <v>378</v>
      </c>
      <c r="E15" s="26" t="s">
        <v>379</v>
      </c>
      <c r="F15" s="26" t="s">
        <v>380</v>
      </c>
      <c r="G15" s="26" t="s">
        <v>381</v>
      </c>
      <c r="H15" s="26">
        <v>0.792</v>
      </c>
      <c r="I15" s="26" t="s">
        <v>382</v>
      </c>
      <c r="J15" s="26" t="s">
        <v>383</v>
      </c>
      <c r="K15" s="26" t="s">
        <v>71</v>
      </c>
      <c r="L15" s="26" t="s">
        <v>384</v>
      </c>
      <c r="M15" s="26">
        <v>0.628</v>
      </c>
      <c r="N15" s="26" t="s">
        <v>385</v>
      </c>
      <c r="O15" s="26" t="s">
        <v>386</v>
      </c>
      <c r="P15" s="26" t="s">
        <v>315</v>
      </c>
      <c r="Q15" s="26" t="s">
        <v>210</v>
      </c>
      <c r="R15" s="26">
        <v>0.605</v>
      </c>
      <c r="S15" s="26" t="s">
        <v>137</v>
      </c>
      <c r="T15" s="26" t="s">
        <v>387</v>
      </c>
      <c r="U15" s="26" t="s">
        <v>388</v>
      </c>
      <c r="V15" s="26" t="s">
        <v>389</v>
      </c>
      <c r="W15" s="26">
        <v>0.928</v>
      </c>
      <c r="X15" s="26" t="s">
        <v>390</v>
      </c>
      <c r="Y15" s="26" t="s">
        <v>391</v>
      </c>
      <c r="Z15" s="26" t="s">
        <v>263</v>
      </c>
      <c r="AA15" s="26" t="s">
        <v>392</v>
      </c>
      <c r="AB15" s="26">
        <v>0.823</v>
      </c>
      <c r="AC15" s="26" t="s">
        <v>393</v>
      </c>
      <c r="AD15" s="26" t="s">
        <v>394</v>
      </c>
      <c r="AE15" s="26" t="s">
        <v>143</v>
      </c>
      <c r="AF15" s="27" t="s">
        <v>357</v>
      </c>
      <c r="AG15" s="26">
        <v>0.61</v>
      </c>
      <c r="AH15" s="26" t="s">
        <v>78</v>
      </c>
      <c r="AI15" s="26" t="s">
        <v>395</v>
      </c>
      <c r="AJ15" s="26">
        <v>0.149</v>
      </c>
      <c r="AK15" s="26" t="s">
        <v>396</v>
      </c>
      <c r="AL15" s="26" t="s">
        <v>397</v>
      </c>
      <c r="AM15" s="26">
        <v>0.464</v>
      </c>
      <c r="AN15" s="26" t="s">
        <v>398</v>
      </c>
      <c r="AO15" s="26" t="s">
        <v>399</v>
      </c>
      <c r="AP15" s="26">
        <v>0.252</v>
      </c>
      <c r="AQ15" s="26" t="s">
        <v>400</v>
      </c>
      <c r="AR15" s="26" t="s">
        <v>87</v>
      </c>
      <c r="AS15" s="26">
        <v>0.365</v>
      </c>
      <c r="AT15" s="26" t="s">
        <v>401</v>
      </c>
      <c r="AU15" s="26" t="s">
        <v>402</v>
      </c>
      <c r="AV15" s="28">
        <v>0.236</v>
      </c>
      <c r="AW15" s="29">
        <v>0.686</v>
      </c>
      <c r="AX15" s="29">
        <v>0.987</v>
      </c>
      <c r="AY15" s="29">
        <v>0.132</v>
      </c>
      <c r="AZ15" s="29">
        <v>0.626</v>
      </c>
      <c r="BA15" s="29">
        <v>0.885</v>
      </c>
      <c r="BB15" s="29">
        <v>0.341</v>
      </c>
      <c r="BC15" s="29">
        <v>0.803</v>
      </c>
      <c r="BD15" s="29">
        <v>0.809</v>
      </c>
      <c r="BE15" s="29">
        <v>0.374</v>
      </c>
      <c r="BF15" s="29">
        <v>0.595</v>
      </c>
      <c r="BG15" s="29">
        <v>0.568</v>
      </c>
      <c r="BH15" s="29">
        <v>0.183</v>
      </c>
      <c r="BI15" s="29">
        <v>0.512</v>
      </c>
      <c r="BJ15" s="29">
        <v>0.488</v>
      </c>
      <c r="BK15" s="29">
        <v>0.203</v>
      </c>
      <c r="BL15" s="29">
        <v>0.713</v>
      </c>
      <c r="BM15" s="29">
        <v>0.835</v>
      </c>
      <c r="BN15" s="29">
        <v>0.16</v>
      </c>
      <c r="BO15" s="29">
        <v>0.658</v>
      </c>
      <c r="BP15" s="29">
        <v>0.812</v>
      </c>
      <c r="BQ15" s="26"/>
      <c r="BR15" s="26"/>
      <c r="BS15" s="27"/>
      <c r="BT15" s="26">
        <v>0.912</v>
      </c>
      <c r="BU15" s="26" t="s">
        <v>151</v>
      </c>
      <c r="BV15" s="26" t="s">
        <v>403</v>
      </c>
      <c r="BW15" s="26" t="s">
        <v>404</v>
      </c>
      <c r="BX15" s="26" t="s">
        <v>405</v>
      </c>
      <c r="BY15" s="26">
        <v>0.918</v>
      </c>
      <c r="BZ15" s="26" t="s">
        <v>195</v>
      </c>
      <c r="CA15" s="26" t="s">
        <v>406</v>
      </c>
      <c r="CB15" s="26" t="s">
        <v>407</v>
      </c>
      <c r="CC15" s="26" t="s">
        <v>408</v>
      </c>
      <c r="CD15" s="26" t="s">
        <v>409</v>
      </c>
      <c r="CE15" s="26" t="s">
        <v>410</v>
      </c>
      <c r="CF15" s="26" t="s">
        <v>169</v>
      </c>
      <c r="CG15" s="26" t="s">
        <v>411</v>
      </c>
      <c r="CH15" s="4">
        <v>0.9959100204</v>
      </c>
      <c r="CI15" s="4">
        <v>0.9592156915</v>
      </c>
      <c r="CJ15" s="4">
        <v>0.9961656442</v>
      </c>
      <c r="CK15" s="4">
        <v>0.8963838071</v>
      </c>
      <c r="CL15" s="4">
        <v>0.6951252874</v>
      </c>
      <c r="CM15" s="144">
        <v>0.561</v>
      </c>
      <c r="CN15" s="144">
        <v>0.489</v>
      </c>
      <c r="CO15" s="144">
        <v>0.206</v>
      </c>
      <c r="CP15" s="144">
        <v>0.032</v>
      </c>
      <c r="CQ15" s="145">
        <v>0.785</v>
      </c>
      <c r="CR15" s="4">
        <v>0.89</v>
      </c>
      <c r="CS15" s="4">
        <v>0.5</v>
      </c>
      <c r="CT15" s="4">
        <v>0.09</v>
      </c>
      <c r="CU15" s="4">
        <v>0.673</v>
      </c>
      <c r="CV15" s="4">
        <v>0.449</v>
      </c>
      <c r="CW15" s="4">
        <v>0.21</v>
      </c>
      <c r="CX15" s="4">
        <v>0.953</v>
      </c>
      <c r="CY15" s="4">
        <v>0.98</v>
      </c>
      <c r="CZ15" s="4">
        <v>0.847</v>
      </c>
      <c r="DA15" s="4">
        <v>0.572</v>
      </c>
      <c r="DB15" s="4">
        <v>0.892</v>
      </c>
      <c r="DC15" s="4">
        <v>0.792</v>
      </c>
      <c r="DD15" s="4">
        <v>0.649</v>
      </c>
      <c r="DE15" s="4">
        <v>0.695</v>
      </c>
      <c r="DF15" s="4">
        <v>0.834</v>
      </c>
      <c r="DG15" s="4">
        <v>0.57</v>
      </c>
      <c r="DH15" s="4">
        <v>0.275</v>
      </c>
      <c r="DI15" s="4">
        <v>0.322</v>
      </c>
      <c r="DJ15" s="4">
        <v>0.146</v>
      </c>
      <c r="DK15" s="4">
        <v>0.288</v>
      </c>
      <c r="DL15" s="4">
        <v>0.973</v>
      </c>
      <c r="DM15" s="4" t="s">
        <v>237</v>
      </c>
      <c r="DN15" s="4" t="s">
        <v>215</v>
      </c>
      <c r="DO15" s="4" t="s">
        <v>135</v>
      </c>
      <c r="DP15" s="238" t="s">
        <v>412</v>
      </c>
      <c r="DQ15" s="352">
        <v>0.465</v>
      </c>
      <c r="DR15" s="352">
        <v>0.715</v>
      </c>
      <c r="DS15" s="352">
        <v>0.785</v>
      </c>
      <c r="DT15" s="352">
        <v>0.389</v>
      </c>
      <c r="DU15" s="352">
        <v>0.203</v>
      </c>
      <c r="DZ15" s="168">
        <f t="shared" ref="DZ15:ED15" si="53">IFERROR(AVERAGE(IFERROR(VALUE(C15),""),IFERROR(VALUE(H15),""),IFERROR(VALUE(M15),""),IFERROR(VALUE(R15),""),IFERROR(VALUE(W15),""),IFERROR(VALUE(AB15),"")),"")</f>
        <v>0.7678333333</v>
      </c>
      <c r="EA15" s="169">
        <f t="shared" si="53"/>
        <v>0.7585</v>
      </c>
      <c r="EB15" s="170">
        <f t="shared" si="53"/>
        <v>0.644</v>
      </c>
      <c r="EC15" s="83">
        <f t="shared" si="53"/>
        <v>0.4775</v>
      </c>
      <c r="ED15" s="171">
        <f t="shared" si="53"/>
        <v>0.1791666667</v>
      </c>
      <c r="EE15" s="172">
        <f t="shared" ref="EE15:EG15" si="54">IFERROR(AVERAGE(IFERROR(VALUE(AG15),""),IFERROR(VALUE(AJ15),""),IFERROR(VALUE(AM15),""),IFERROR(VALUE(AP15),""),IFERROR(VALUE(AS15),"")),"")</f>
        <v>0.368</v>
      </c>
      <c r="EF15" s="41">
        <f t="shared" si="54"/>
        <v>0.674</v>
      </c>
      <c r="EG15" s="173">
        <f t="shared" si="54"/>
        <v>0.6018</v>
      </c>
      <c r="EH15" s="42">
        <v>0.644</v>
      </c>
      <c r="EI15" s="151">
        <v>0.747</v>
      </c>
      <c r="EJ15" s="174">
        <f t="shared" si="55"/>
        <v>0.9419700068</v>
      </c>
      <c r="EK15" s="41">
        <f t="shared" si="56"/>
        <v>0.7578039229</v>
      </c>
      <c r="EL15" s="83">
        <f t="shared" si="57"/>
        <v>0.7555414111</v>
      </c>
      <c r="EM15" s="83">
        <f t="shared" si="58"/>
        <v>0.4928459518</v>
      </c>
      <c r="EN15" s="175">
        <f t="shared" si="59"/>
        <v>0.2882813219</v>
      </c>
      <c r="EO15" s="176">
        <v>0.973</v>
      </c>
      <c r="EP15" s="177">
        <f t="shared" ref="EP15:EQ15" si="60">IFERROR(AVERAGE(IFERROR(VALUE(CQ15),""),IFERROR(VALUE(CX15),""),IFERROR(VALUE(DE15),""),IFERROR(VALUE(DM15),"")),"")</f>
        <v>0.83425</v>
      </c>
      <c r="EQ15" s="34">
        <f t="shared" si="60"/>
        <v>0.91325</v>
      </c>
      <c r="ER15" s="178">
        <f t="shared" ref="ER15:ES15" si="61">IFERROR(AVERAGE(IFERROR(VALUE(CU15),""),IFERROR(VALUE(DB15),""),IFERROR(VALUE(DI15),""),IFERROR(VALUE(DO15),"")),"")</f>
        <v>0.65175</v>
      </c>
      <c r="ES15" s="48">
        <f t="shared" si="61"/>
        <v>0.5125</v>
      </c>
      <c r="ET15" s="179">
        <f t="shared" ref="ET15:EU15" si="62">IFERROR(AVERAGE(IFERROR(VALUE(CS15),""),IFERROR(VALUE(CZ15),""),IFERROR(VALUE(DG15),"")),"")</f>
        <v>0.639</v>
      </c>
      <c r="EU15" s="79">
        <f t="shared" si="62"/>
        <v>0.3123333333</v>
      </c>
      <c r="EV15" s="51">
        <v>0.703</v>
      </c>
      <c r="EW15" s="51"/>
    </row>
    <row r="16">
      <c r="A16" s="180" t="s">
        <v>413</v>
      </c>
      <c r="B16" s="24" t="s">
        <v>721</v>
      </c>
      <c r="C16" s="181">
        <v>0.9</v>
      </c>
      <c r="D16" s="182" t="s">
        <v>190</v>
      </c>
      <c r="E16" s="182" t="s">
        <v>476</v>
      </c>
      <c r="F16" s="182" t="s">
        <v>186</v>
      </c>
      <c r="G16" s="182" t="s">
        <v>477</v>
      </c>
      <c r="H16" s="182">
        <v>0.772</v>
      </c>
      <c r="I16" s="182" t="s">
        <v>478</v>
      </c>
      <c r="J16" s="182" t="s">
        <v>479</v>
      </c>
      <c r="K16" s="182" t="s">
        <v>366</v>
      </c>
      <c r="L16" s="182" t="s">
        <v>252</v>
      </c>
      <c r="M16" s="182">
        <v>0.75</v>
      </c>
      <c r="N16" s="182" t="s">
        <v>58</v>
      </c>
      <c r="O16" s="182" t="s">
        <v>194</v>
      </c>
      <c r="P16" s="182" t="s">
        <v>294</v>
      </c>
      <c r="Q16" s="182" t="s">
        <v>442</v>
      </c>
      <c r="R16" s="182">
        <v>0.649</v>
      </c>
      <c r="S16" s="182" t="s">
        <v>410</v>
      </c>
      <c r="T16" s="182" t="s">
        <v>299</v>
      </c>
      <c r="U16" s="182" t="s">
        <v>207</v>
      </c>
      <c r="V16" s="182" t="s">
        <v>480</v>
      </c>
      <c r="W16" s="182">
        <v>0.899</v>
      </c>
      <c r="X16" s="182" t="s">
        <v>452</v>
      </c>
      <c r="Y16" s="182" t="s">
        <v>115</v>
      </c>
      <c r="Z16" s="182" t="s">
        <v>481</v>
      </c>
      <c r="AA16" s="182" t="s">
        <v>482</v>
      </c>
      <c r="AB16" s="182">
        <v>0.83</v>
      </c>
      <c r="AC16" s="182" t="s">
        <v>461</v>
      </c>
      <c r="AD16" s="182" t="s">
        <v>378</v>
      </c>
      <c r="AE16" s="182" t="s">
        <v>483</v>
      </c>
      <c r="AF16" s="183" t="s">
        <v>272</v>
      </c>
      <c r="AG16" s="182">
        <v>0.528</v>
      </c>
      <c r="AH16" s="182" t="s">
        <v>484</v>
      </c>
      <c r="AI16" s="182" t="s">
        <v>485</v>
      </c>
      <c r="AJ16" s="182">
        <v>0.129</v>
      </c>
      <c r="AK16" s="182" t="s">
        <v>236</v>
      </c>
      <c r="AL16" s="182" t="s">
        <v>486</v>
      </c>
      <c r="AM16" s="182">
        <v>0.505</v>
      </c>
      <c r="AN16" s="182" t="s">
        <v>487</v>
      </c>
      <c r="AO16" s="182" t="s">
        <v>488</v>
      </c>
      <c r="AP16" s="182">
        <v>0.166</v>
      </c>
      <c r="AQ16" s="182" t="s">
        <v>63</v>
      </c>
      <c r="AR16" s="182" t="s">
        <v>489</v>
      </c>
      <c r="AS16" s="182">
        <v>0.482</v>
      </c>
      <c r="AT16" s="182" t="s">
        <v>490</v>
      </c>
      <c r="AU16" s="182" t="s">
        <v>150</v>
      </c>
      <c r="AV16" s="184">
        <v>0.276</v>
      </c>
      <c r="AW16" s="182" t="s">
        <v>439</v>
      </c>
      <c r="AX16" s="182" t="s">
        <v>491</v>
      </c>
      <c r="AY16" s="185">
        <v>0.137</v>
      </c>
      <c r="AZ16" s="182" t="s">
        <v>347</v>
      </c>
      <c r="BA16" s="182" t="s">
        <v>492</v>
      </c>
      <c r="BB16" s="185">
        <v>0.273</v>
      </c>
      <c r="BC16" s="182" t="s">
        <v>403</v>
      </c>
      <c r="BD16" s="182" t="s">
        <v>493</v>
      </c>
      <c r="BE16" s="185">
        <v>0.473</v>
      </c>
      <c r="BF16" s="182" t="s">
        <v>268</v>
      </c>
      <c r="BG16" s="182" t="s">
        <v>366</v>
      </c>
      <c r="BH16" s="185">
        <v>0.375</v>
      </c>
      <c r="BI16" s="182" t="s">
        <v>494</v>
      </c>
      <c r="BJ16" s="182" t="s">
        <v>318</v>
      </c>
      <c r="BK16" s="185">
        <v>0.22</v>
      </c>
      <c r="BL16" s="416">
        <v>0.749</v>
      </c>
      <c r="BM16" s="416">
        <v>0.848</v>
      </c>
      <c r="BN16" s="185">
        <v>0.196</v>
      </c>
      <c r="BO16" s="416">
        <v>0.77</v>
      </c>
      <c r="BP16" s="416">
        <v>0.851</v>
      </c>
      <c r="BQ16" s="182"/>
      <c r="BR16" s="182"/>
      <c r="BS16" s="183"/>
      <c r="BT16" s="182">
        <v>0.932</v>
      </c>
      <c r="BU16" s="182" t="s">
        <v>158</v>
      </c>
      <c r="BV16" s="182" t="s">
        <v>495</v>
      </c>
      <c r="BW16" s="182" t="s">
        <v>289</v>
      </c>
      <c r="BX16" s="182" t="s">
        <v>496</v>
      </c>
      <c r="BY16" s="182">
        <v>0.962</v>
      </c>
      <c r="BZ16" s="182" t="s">
        <v>150</v>
      </c>
      <c r="CA16" s="182" t="s">
        <v>497</v>
      </c>
      <c r="CB16" s="182" t="s">
        <v>498</v>
      </c>
      <c r="CC16" s="182" t="s">
        <v>499</v>
      </c>
      <c r="CD16" s="182" t="s">
        <v>500</v>
      </c>
      <c r="CE16" s="182" t="s">
        <v>303</v>
      </c>
      <c r="CF16" s="182" t="s">
        <v>437</v>
      </c>
      <c r="CG16" s="182" t="s">
        <v>217</v>
      </c>
      <c r="CH16" s="397">
        <v>0.9933537832</v>
      </c>
      <c r="CI16" s="397">
        <v>0.9872838721</v>
      </c>
      <c r="CJ16" s="397">
        <v>0.9915644172</v>
      </c>
      <c r="CK16" s="397">
        <v>0.9213359746</v>
      </c>
      <c r="CL16" s="397">
        <v>0.7710512126</v>
      </c>
      <c r="CM16" s="417">
        <v>0.748</v>
      </c>
      <c r="CN16" s="398">
        <v>0.746</v>
      </c>
      <c r="CO16" s="398">
        <v>0.444</v>
      </c>
      <c r="CP16" s="398">
        <v>0.166</v>
      </c>
      <c r="CQ16" s="399">
        <v>0.786</v>
      </c>
      <c r="CR16" s="397">
        <v>0.905</v>
      </c>
      <c r="CS16" s="397">
        <v>0.546</v>
      </c>
      <c r="CT16" s="397">
        <v>0.233</v>
      </c>
      <c r="CU16" s="397">
        <v>0.635</v>
      </c>
      <c r="CV16" s="397">
        <v>0.379</v>
      </c>
      <c r="CW16" s="397">
        <v>0.273</v>
      </c>
      <c r="CX16" s="397">
        <v>0.951</v>
      </c>
      <c r="CY16" s="397">
        <v>0.978</v>
      </c>
      <c r="CZ16" s="397">
        <v>0.776</v>
      </c>
      <c r="DA16" s="397">
        <v>0.412</v>
      </c>
      <c r="DB16" s="397">
        <v>0.878</v>
      </c>
      <c r="DC16" s="397">
        <v>0.771</v>
      </c>
      <c r="DD16" s="397">
        <v>0.496</v>
      </c>
      <c r="DE16" s="397">
        <v>0.646</v>
      </c>
      <c r="DF16" s="397">
        <v>0.85</v>
      </c>
      <c r="DG16" s="397">
        <v>0.567</v>
      </c>
      <c r="DH16" s="397">
        <v>0.364</v>
      </c>
      <c r="DI16" s="397">
        <v>0.304</v>
      </c>
      <c r="DJ16" s="397">
        <v>0.146</v>
      </c>
      <c r="DK16" s="397">
        <v>0.372</v>
      </c>
      <c r="DL16" s="397">
        <v>0.984</v>
      </c>
      <c r="DM16" s="397" t="s">
        <v>501</v>
      </c>
      <c r="DN16" s="397" t="s">
        <v>502</v>
      </c>
      <c r="DO16" s="397" t="s">
        <v>293</v>
      </c>
      <c r="DP16" s="400" t="s">
        <v>135</v>
      </c>
      <c r="DQ16" s="352">
        <v>0.578</v>
      </c>
      <c r="DR16" s="352">
        <v>0.661</v>
      </c>
      <c r="DS16" s="352">
        <v>0.848</v>
      </c>
      <c r="DT16" s="352">
        <v>0.364</v>
      </c>
      <c r="DU16" s="352">
        <v>0.192</v>
      </c>
      <c r="DZ16" s="418">
        <f t="shared" ref="DZ16:ED16" si="63">IFERROR(AVERAGE(IFERROR(VALUE(C16),""),IFERROR(VALUE(H16),""),IFERROR(VALUE(M16),""),IFERROR(VALUE(R16),""),IFERROR(VALUE(W16),""),IFERROR(VALUE(AB16),"")),"")</f>
        <v>0.8</v>
      </c>
      <c r="EA16" s="226">
        <f t="shared" si="63"/>
        <v>0.8093333333</v>
      </c>
      <c r="EB16" s="227">
        <f t="shared" si="63"/>
        <v>0.7108333333</v>
      </c>
      <c r="EC16" s="130">
        <f t="shared" si="63"/>
        <v>0.5843333333</v>
      </c>
      <c r="ED16" s="250">
        <f t="shared" si="63"/>
        <v>0.3175</v>
      </c>
      <c r="EE16" s="419">
        <f t="shared" ref="EE16:EG16" si="64">IFERROR(AVERAGE(IFERROR(VALUE(AG16),""),IFERROR(VALUE(AJ16),""),IFERROR(VALUE(AM16),""),IFERROR(VALUE(AP16),""),IFERROR(VALUE(AS16),"")),"")</f>
        <v>0.362</v>
      </c>
      <c r="EF16" s="230">
        <f t="shared" si="64"/>
        <v>0.7124</v>
      </c>
      <c r="EG16" s="420">
        <f t="shared" si="64"/>
        <v>0.6154</v>
      </c>
      <c r="EH16" s="98">
        <v>0.707</v>
      </c>
      <c r="EI16" s="421">
        <v>0.842</v>
      </c>
      <c r="EJ16" s="422">
        <f t="shared" si="55"/>
        <v>0.9624512611</v>
      </c>
      <c r="EK16" s="139">
        <f t="shared" si="56"/>
        <v>0.829820968</v>
      </c>
      <c r="EL16" s="139">
        <f t="shared" si="57"/>
        <v>0.8128911043</v>
      </c>
      <c r="EM16" s="139">
        <f t="shared" si="58"/>
        <v>0.5820839937</v>
      </c>
      <c r="EN16" s="423">
        <f t="shared" si="59"/>
        <v>0.3575128032</v>
      </c>
      <c r="EO16" s="137">
        <v>0.984</v>
      </c>
      <c r="EP16" s="232">
        <f t="shared" ref="EP16:EQ16" si="65">IFERROR(AVERAGE(IFERROR(VALUE(CQ16),""),IFERROR(VALUE(CX16),""),IFERROR(VALUE(DE16),""),IFERROR(VALUE(DM16),"")),"")</f>
        <v>0.8245</v>
      </c>
      <c r="EQ16" s="233">
        <f t="shared" si="65"/>
        <v>0.92175</v>
      </c>
      <c r="ER16" s="234">
        <f t="shared" ref="ER16:ES16" si="66">IFERROR(AVERAGE(IFERROR(VALUE(CU16),""),IFERROR(VALUE(DB16),""),IFERROR(VALUE(DI16),""),IFERROR(VALUE(DO16),"")),"")</f>
        <v>0.6435</v>
      </c>
      <c r="ES16" s="235">
        <f t="shared" si="66"/>
        <v>0.504</v>
      </c>
      <c r="ET16" s="236">
        <f t="shared" ref="ET16:EU16" si="67">IFERROR(AVERAGE(IFERROR(VALUE(CS16),""),IFERROR(VALUE(CZ16),""),IFERROR(VALUE(DG16),"")),"")</f>
        <v>0.6296666667</v>
      </c>
      <c r="EU16" s="154">
        <f t="shared" si="67"/>
        <v>0.3363333333</v>
      </c>
      <c r="EV16" s="51">
        <v>0.688</v>
      </c>
      <c r="EW16" s="51">
        <v>0.279</v>
      </c>
    </row>
    <row r="17">
      <c r="A17" s="52"/>
      <c r="B17" s="53" t="s">
        <v>722</v>
      </c>
      <c r="C17" s="25">
        <v>0.906</v>
      </c>
      <c r="D17" s="26" t="s">
        <v>251</v>
      </c>
      <c r="E17" s="26" t="s">
        <v>232</v>
      </c>
      <c r="F17" s="26" t="s">
        <v>452</v>
      </c>
      <c r="G17" s="26" t="s">
        <v>453</v>
      </c>
      <c r="H17" s="26">
        <v>0.78</v>
      </c>
      <c r="I17" s="26" t="s">
        <v>454</v>
      </c>
      <c r="J17" s="26" t="s">
        <v>167</v>
      </c>
      <c r="K17" s="26" t="s">
        <v>455</v>
      </c>
      <c r="L17" s="26" t="s">
        <v>456</v>
      </c>
      <c r="M17" s="26">
        <v>0.752</v>
      </c>
      <c r="N17" s="26" t="s">
        <v>201</v>
      </c>
      <c r="O17" s="26" t="s">
        <v>367</v>
      </c>
      <c r="P17" s="26" t="s">
        <v>457</v>
      </c>
      <c r="Q17" s="26" t="s">
        <v>388</v>
      </c>
      <c r="R17" s="26">
        <v>0.633</v>
      </c>
      <c r="S17" s="26" t="s">
        <v>259</v>
      </c>
      <c r="T17" s="26" t="s">
        <v>458</v>
      </c>
      <c r="U17" s="26" t="s">
        <v>459</v>
      </c>
      <c r="V17" s="26" t="s">
        <v>460</v>
      </c>
      <c r="W17" s="26">
        <v>0.921</v>
      </c>
      <c r="X17" s="26" t="s">
        <v>283</v>
      </c>
      <c r="Y17" s="26" t="s">
        <v>132</v>
      </c>
      <c r="Z17" s="26" t="s">
        <v>375</v>
      </c>
      <c r="AA17" s="26" t="s">
        <v>442</v>
      </c>
      <c r="AB17" s="26">
        <v>0.723</v>
      </c>
      <c r="AC17" s="26" t="s">
        <v>251</v>
      </c>
      <c r="AD17" s="26" t="s">
        <v>87</v>
      </c>
      <c r="AE17" s="26" t="s">
        <v>62</v>
      </c>
      <c r="AF17" s="27" t="s">
        <v>178</v>
      </c>
      <c r="AG17" s="26">
        <v>0.501</v>
      </c>
      <c r="AH17" s="26" t="s">
        <v>443</v>
      </c>
      <c r="AI17" s="26" t="s">
        <v>461</v>
      </c>
      <c r="AJ17" s="26">
        <v>0.12</v>
      </c>
      <c r="AK17" s="26" t="s">
        <v>244</v>
      </c>
      <c r="AL17" s="26" t="s">
        <v>217</v>
      </c>
      <c r="AM17" s="26">
        <v>0.486</v>
      </c>
      <c r="AN17" s="26" t="s">
        <v>265</v>
      </c>
      <c r="AO17" s="26" t="s">
        <v>462</v>
      </c>
      <c r="AP17" s="26">
        <v>0.258</v>
      </c>
      <c r="AQ17" s="26" t="s">
        <v>78</v>
      </c>
      <c r="AR17" s="26" t="s">
        <v>139</v>
      </c>
      <c r="AS17" s="26">
        <v>0.459</v>
      </c>
      <c r="AT17" s="26" t="s">
        <v>241</v>
      </c>
      <c r="AU17" s="26" t="s">
        <v>463</v>
      </c>
      <c r="AV17" s="28">
        <v>0.283</v>
      </c>
      <c r="AW17" s="26" t="s">
        <v>464</v>
      </c>
      <c r="AX17" s="26" t="s">
        <v>465</v>
      </c>
      <c r="AY17" s="29">
        <v>0.128</v>
      </c>
      <c r="AZ17" s="26" t="s">
        <v>198</v>
      </c>
      <c r="BA17" s="26" t="s">
        <v>466</v>
      </c>
      <c r="BB17" s="29">
        <v>0.263</v>
      </c>
      <c r="BC17" s="26" t="s">
        <v>246</v>
      </c>
      <c r="BD17" s="26" t="s">
        <v>452</v>
      </c>
      <c r="BE17" s="29">
        <v>0.454</v>
      </c>
      <c r="BF17" s="26" t="s">
        <v>464</v>
      </c>
      <c r="BG17" s="26" t="s">
        <v>167</v>
      </c>
      <c r="BH17" s="29">
        <v>0.383</v>
      </c>
      <c r="BI17" s="26" t="s">
        <v>467</v>
      </c>
      <c r="BJ17" s="26" t="s">
        <v>468</v>
      </c>
      <c r="BK17" s="29">
        <v>0.231</v>
      </c>
      <c r="BL17" s="29">
        <v>0.759</v>
      </c>
      <c r="BM17" s="29">
        <v>0.843</v>
      </c>
      <c r="BN17" s="29">
        <v>0.212</v>
      </c>
      <c r="BO17" s="30">
        <v>0.738</v>
      </c>
      <c r="BP17" s="30">
        <v>0.837</v>
      </c>
      <c r="BQ17" s="26"/>
      <c r="BR17" s="72"/>
      <c r="BS17" s="146"/>
      <c r="BT17" s="26">
        <v>0.914</v>
      </c>
      <c r="BU17" s="26" t="s">
        <v>469</v>
      </c>
      <c r="BV17" s="26" t="s">
        <v>331</v>
      </c>
      <c r="BW17" s="26" t="s">
        <v>164</v>
      </c>
      <c r="BX17" s="26" t="s">
        <v>470</v>
      </c>
      <c r="BY17" s="26">
        <v>0.94</v>
      </c>
      <c r="BZ17" s="26" t="s">
        <v>464</v>
      </c>
      <c r="CA17" s="26" t="s">
        <v>91</v>
      </c>
      <c r="CB17" s="26" t="s">
        <v>72</v>
      </c>
      <c r="CC17" s="26" t="s">
        <v>68</v>
      </c>
      <c r="CD17" s="26" t="s">
        <v>471</v>
      </c>
      <c r="CE17" s="26" t="s">
        <v>82</v>
      </c>
      <c r="CF17" s="26" t="s">
        <v>332</v>
      </c>
      <c r="CG17" s="26" t="s">
        <v>472</v>
      </c>
      <c r="CH17" s="4">
        <v>0.9913087935</v>
      </c>
      <c r="CI17" s="4">
        <v>0.9637194789</v>
      </c>
      <c r="CJ17" s="4">
        <v>0.98900818</v>
      </c>
      <c r="CK17" s="4">
        <v>0.903314342</v>
      </c>
      <c r="CL17" s="4">
        <v>0.6834013812</v>
      </c>
      <c r="CM17" s="144">
        <v>0.717</v>
      </c>
      <c r="CN17" s="144">
        <v>0.726</v>
      </c>
      <c r="CO17" s="144">
        <v>0.443</v>
      </c>
      <c r="CP17" s="144">
        <v>0.183</v>
      </c>
      <c r="CQ17" s="145">
        <v>0.784</v>
      </c>
      <c r="CR17" s="4">
        <v>0.93</v>
      </c>
      <c r="CS17" s="4">
        <v>0.532</v>
      </c>
      <c r="CT17" s="4">
        <v>0.199</v>
      </c>
      <c r="CU17" s="4">
        <v>0.606</v>
      </c>
      <c r="CV17" s="4">
        <v>0.381</v>
      </c>
      <c r="CW17" s="4">
        <v>0.14</v>
      </c>
      <c r="CX17" s="4">
        <v>0.935</v>
      </c>
      <c r="CY17" s="4">
        <v>0.978</v>
      </c>
      <c r="CZ17" s="4">
        <v>0.73</v>
      </c>
      <c r="DA17" s="4">
        <v>0.325</v>
      </c>
      <c r="DB17" s="4">
        <v>0.894</v>
      </c>
      <c r="DC17" s="4">
        <v>0.797</v>
      </c>
      <c r="DD17" s="4">
        <v>0.346</v>
      </c>
      <c r="DE17" s="4">
        <v>0.634</v>
      </c>
      <c r="DF17" s="4">
        <v>0.824</v>
      </c>
      <c r="DG17" s="4">
        <v>0.557</v>
      </c>
      <c r="DH17" s="4">
        <v>0.334</v>
      </c>
      <c r="DI17" s="4">
        <v>0.291</v>
      </c>
      <c r="DJ17" s="4">
        <v>0.112</v>
      </c>
      <c r="DK17" s="4">
        <v>0.361</v>
      </c>
      <c r="DL17" s="4">
        <v>0.982</v>
      </c>
      <c r="DM17" s="4" t="s">
        <v>454</v>
      </c>
      <c r="DN17" s="4" t="s">
        <v>473</v>
      </c>
      <c r="DO17" s="4" t="s">
        <v>474</v>
      </c>
      <c r="DP17" s="238" t="s">
        <v>262</v>
      </c>
      <c r="DQ17" s="352">
        <v>0.535</v>
      </c>
      <c r="DR17" s="352">
        <v>0.661</v>
      </c>
      <c r="DS17" s="352">
        <v>0.848</v>
      </c>
      <c r="DT17" s="352">
        <v>0.304</v>
      </c>
      <c r="DU17" s="352">
        <v>0.128</v>
      </c>
      <c r="DZ17" s="208">
        <f t="shared" ref="DZ17:ED17" si="68">IFERROR(AVERAGE(IFERROR(VALUE(C17),""),IFERROR(VALUE(H17),""),IFERROR(VALUE(M17),""),IFERROR(VALUE(R17),""),IFERROR(VALUE(W17),""),IFERROR(VALUE(AB17),"")),"")</f>
        <v>0.7858333333</v>
      </c>
      <c r="EA17" s="70">
        <f t="shared" si="68"/>
        <v>0.7993333333</v>
      </c>
      <c r="EB17" s="209">
        <f t="shared" si="68"/>
        <v>0.7183333333</v>
      </c>
      <c r="EC17" s="134">
        <f t="shared" si="68"/>
        <v>0.5633333333</v>
      </c>
      <c r="ED17" s="210">
        <f t="shared" si="68"/>
        <v>0.2831666667</v>
      </c>
      <c r="EE17" s="211">
        <f t="shared" ref="EE17:EG17" si="69">IFERROR(AVERAGE(IFERROR(VALUE(AG17),""),IFERROR(VALUE(AJ17),""),IFERROR(VALUE(AM17),""),IFERROR(VALUE(AP17),""),IFERROR(VALUE(AS17),"")),"")</f>
        <v>0.3648</v>
      </c>
      <c r="EF17" s="212">
        <f t="shared" si="69"/>
        <v>0.6952</v>
      </c>
      <c r="EG17" s="39">
        <f t="shared" si="69"/>
        <v>0.6196</v>
      </c>
      <c r="EH17" s="177">
        <v>0.704</v>
      </c>
      <c r="EI17" s="213">
        <v>0.829</v>
      </c>
      <c r="EJ17" s="214">
        <f t="shared" si="55"/>
        <v>0.9484362645</v>
      </c>
      <c r="EK17" s="215">
        <f t="shared" si="56"/>
        <v>0.8064298697</v>
      </c>
      <c r="EL17" s="216">
        <f t="shared" si="57"/>
        <v>0.791002045</v>
      </c>
      <c r="EM17" s="217">
        <f t="shared" si="58"/>
        <v>0.5675785855</v>
      </c>
      <c r="EN17" s="218">
        <f t="shared" si="59"/>
        <v>0.3271003453</v>
      </c>
      <c r="EO17" s="219">
        <v>0.982</v>
      </c>
      <c r="EP17" s="220">
        <f t="shared" ref="EP17:EQ17" si="70">IFERROR(AVERAGE(IFERROR(VALUE(CQ17),""),IFERROR(VALUE(CX17),""),IFERROR(VALUE(DE17),""),IFERROR(VALUE(DM17),"")),"")</f>
        <v>0.81625</v>
      </c>
      <c r="EQ17" s="221">
        <f t="shared" si="70"/>
        <v>0.921</v>
      </c>
      <c r="ER17" s="222">
        <f t="shared" ref="ER17:ES17" si="71">IFERROR(AVERAGE(IFERROR(VALUE(CU17),""),IFERROR(VALUE(DB17),""),IFERROR(VALUE(DI17),""),IFERROR(VALUE(DO17),"")),"")</f>
        <v>0.628</v>
      </c>
      <c r="ES17" s="150">
        <f t="shared" si="71"/>
        <v>0.48925</v>
      </c>
      <c r="ET17" s="223">
        <f t="shared" ref="ET17:EU17" si="72">IFERROR(AVERAGE(IFERROR(VALUE(CS17),""),IFERROR(VALUE(CZ17),""),IFERROR(VALUE(DG17),"")),"")</f>
        <v>0.6063333333</v>
      </c>
      <c r="EU17" s="164">
        <f t="shared" si="72"/>
        <v>0.286</v>
      </c>
      <c r="EV17" s="51">
        <v>0.683</v>
      </c>
      <c r="EW17" s="51">
        <v>0.279</v>
      </c>
    </row>
    <row r="18">
      <c r="A18" s="52"/>
      <c r="B18" s="53" t="s">
        <v>414</v>
      </c>
      <c r="C18" s="25">
        <v>0.708</v>
      </c>
      <c r="D18" s="26" t="s">
        <v>415</v>
      </c>
      <c r="E18" s="26" t="s">
        <v>416</v>
      </c>
      <c r="F18" s="26" t="s">
        <v>417</v>
      </c>
      <c r="G18" s="26" t="s">
        <v>152</v>
      </c>
      <c r="H18" s="26">
        <v>0.235</v>
      </c>
      <c r="I18" s="26" t="s">
        <v>194</v>
      </c>
      <c r="J18" s="26" t="s">
        <v>418</v>
      </c>
      <c r="K18" s="26" t="s">
        <v>419</v>
      </c>
      <c r="L18" s="26" t="s">
        <v>420</v>
      </c>
      <c r="M18" s="26">
        <v>0.732</v>
      </c>
      <c r="N18" s="26" t="s">
        <v>128</v>
      </c>
      <c r="O18" s="26" t="s">
        <v>421</v>
      </c>
      <c r="P18" s="26" t="s">
        <v>422</v>
      </c>
      <c r="Q18" s="26" t="s">
        <v>423</v>
      </c>
      <c r="R18" s="26">
        <v>0.566</v>
      </c>
      <c r="S18" s="26" t="s">
        <v>198</v>
      </c>
      <c r="T18" s="26" t="s">
        <v>424</v>
      </c>
      <c r="U18" s="26" t="s">
        <v>425</v>
      </c>
      <c r="V18" s="26" t="s">
        <v>426</v>
      </c>
      <c r="W18" s="26">
        <v>0.799</v>
      </c>
      <c r="X18" s="26" t="s">
        <v>94</v>
      </c>
      <c r="Y18" s="26" t="s">
        <v>427</v>
      </c>
      <c r="Z18" s="26" t="s">
        <v>428</v>
      </c>
      <c r="AA18" s="26" t="s">
        <v>429</v>
      </c>
      <c r="AB18" s="26">
        <v>0.868</v>
      </c>
      <c r="AC18" s="26" t="s">
        <v>430</v>
      </c>
      <c r="AD18" s="26" t="s">
        <v>431</v>
      </c>
      <c r="AE18" s="26" t="s">
        <v>307</v>
      </c>
      <c r="AF18" s="27" t="s">
        <v>432</v>
      </c>
      <c r="AG18" s="26">
        <v>0.343</v>
      </c>
      <c r="AH18" s="26" t="s">
        <v>137</v>
      </c>
      <c r="AI18" s="26" t="s">
        <v>214</v>
      </c>
      <c r="AJ18" s="26">
        <v>0.06</v>
      </c>
      <c r="AK18" s="26" t="s">
        <v>119</v>
      </c>
      <c r="AL18" s="26" t="s">
        <v>433</v>
      </c>
      <c r="AM18" s="26">
        <v>0.398</v>
      </c>
      <c r="AN18" s="26" t="s">
        <v>434</v>
      </c>
      <c r="AO18" s="26" t="s">
        <v>435</v>
      </c>
      <c r="AP18" s="26">
        <v>0.145</v>
      </c>
      <c r="AQ18" s="26" t="s">
        <v>436</v>
      </c>
      <c r="AR18" s="26" t="s">
        <v>311</v>
      </c>
      <c r="AS18" s="26">
        <v>0.285</v>
      </c>
      <c r="AT18" s="26" t="s">
        <v>323</v>
      </c>
      <c r="AU18" s="26" t="s">
        <v>437</v>
      </c>
      <c r="AV18" s="28">
        <v>0.115</v>
      </c>
      <c r="AW18" s="26" t="s">
        <v>402</v>
      </c>
      <c r="AX18" s="26" t="s">
        <v>302</v>
      </c>
      <c r="AY18" s="29">
        <v>0.045</v>
      </c>
      <c r="AZ18" s="26" t="s">
        <v>438</v>
      </c>
      <c r="BA18" s="26" t="s">
        <v>439</v>
      </c>
      <c r="BB18" s="29">
        <v>0.054</v>
      </c>
      <c r="BC18" s="26" t="s">
        <v>440</v>
      </c>
      <c r="BD18" s="26" t="s">
        <v>193</v>
      </c>
      <c r="BE18" s="29">
        <v>0.181</v>
      </c>
      <c r="BF18" s="26" t="s">
        <v>289</v>
      </c>
      <c r="BG18" s="26" t="s">
        <v>356</v>
      </c>
      <c r="BH18" s="29">
        <v>0.087</v>
      </c>
      <c r="BI18" s="26" t="s">
        <v>303</v>
      </c>
      <c r="BJ18" s="26" t="s">
        <v>164</v>
      </c>
      <c r="BK18" s="29">
        <v>0.115</v>
      </c>
      <c r="BL18" s="29">
        <v>0.701</v>
      </c>
      <c r="BM18" s="29">
        <v>0.736</v>
      </c>
      <c r="BN18" s="29">
        <v>0.087</v>
      </c>
      <c r="BO18" s="29">
        <v>0.725</v>
      </c>
      <c r="BP18" s="29">
        <v>0.721</v>
      </c>
      <c r="BQ18" s="26"/>
      <c r="BR18" s="26"/>
      <c r="BS18" s="27"/>
      <c r="BT18" s="26">
        <v>0.892</v>
      </c>
      <c r="BU18" s="26" t="s">
        <v>441</v>
      </c>
      <c r="BV18" s="26" t="s">
        <v>244</v>
      </c>
      <c r="BW18" s="26" t="s">
        <v>138</v>
      </c>
      <c r="BX18" s="26" t="s">
        <v>442</v>
      </c>
      <c r="BY18" s="26">
        <v>0.909</v>
      </c>
      <c r="BZ18" s="26" t="s">
        <v>443</v>
      </c>
      <c r="CA18" s="26" t="s">
        <v>444</v>
      </c>
      <c r="CB18" s="26" t="s">
        <v>445</v>
      </c>
      <c r="CC18" s="26" t="s">
        <v>57</v>
      </c>
      <c r="CD18" s="26" t="s">
        <v>238</v>
      </c>
      <c r="CE18" s="26" t="s">
        <v>446</v>
      </c>
      <c r="CF18" s="26" t="s">
        <v>447</v>
      </c>
      <c r="CG18" s="26" t="s">
        <v>448</v>
      </c>
      <c r="CH18" s="4">
        <v>0.9877300613</v>
      </c>
      <c r="CI18" s="4">
        <v>0.9664810554</v>
      </c>
      <c r="CJ18" s="4">
        <v>0.9746932515</v>
      </c>
      <c r="CK18" s="4">
        <v>0.8629190686</v>
      </c>
      <c r="CL18" s="4">
        <v>0.6243669771</v>
      </c>
      <c r="CM18" s="144">
        <v>0.611</v>
      </c>
      <c r="CN18" s="144">
        <v>0.535</v>
      </c>
      <c r="CO18" s="144">
        <v>0.27</v>
      </c>
      <c r="CP18" s="144">
        <v>0.074</v>
      </c>
      <c r="CQ18" s="145">
        <v>0.758</v>
      </c>
      <c r="CR18" s="4">
        <v>0.755</v>
      </c>
      <c r="CS18" s="4">
        <v>0.506</v>
      </c>
      <c r="CT18" s="4">
        <v>0.117</v>
      </c>
      <c r="CU18" s="4">
        <v>0.485</v>
      </c>
      <c r="CV18" s="4">
        <v>0.327</v>
      </c>
      <c r="CW18" s="4">
        <v>0.225</v>
      </c>
      <c r="CX18" s="4">
        <v>0.821</v>
      </c>
      <c r="CY18" s="4">
        <v>0.808</v>
      </c>
      <c r="CZ18" s="4">
        <v>0.627</v>
      </c>
      <c r="DA18" s="4">
        <v>0.226</v>
      </c>
      <c r="DB18" s="4">
        <v>0.584</v>
      </c>
      <c r="DC18" s="4">
        <v>0.362</v>
      </c>
      <c r="DD18" s="4">
        <v>0.29</v>
      </c>
      <c r="DE18" s="4">
        <v>0.651</v>
      </c>
      <c r="DF18" s="4">
        <v>0.661</v>
      </c>
      <c r="DG18" s="4">
        <v>0.492</v>
      </c>
      <c r="DH18" s="4">
        <v>0.1</v>
      </c>
      <c r="DI18" s="4">
        <v>0.272</v>
      </c>
      <c r="DJ18" s="4">
        <v>0.133</v>
      </c>
      <c r="DK18" s="4">
        <v>0.109</v>
      </c>
      <c r="DL18" s="4">
        <v>0.966</v>
      </c>
      <c r="DM18" s="4" t="s">
        <v>449</v>
      </c>
      <c r="DN18" s="4" t="s">
        <v>450</v>
      </c>
      <c r="DO18" s="4" t="s">
        <v>437</v>
      </c>
      <c r="DP18" s="238" t="s">
        <v>133</v>
      </c>
      <c r="DQ18" s="352">
        <v>0.218</v>
      </c>
      <c r="DR18" s="352">
        <v>0.646</v>
      </c>
      <c r="DS18" s="352">
        <v>0.584</v>
      </c>
      <c r="DT18" s="352">
        <v>0.223</v>
      </c>
      <c r="DU18" s="352">
        <v>0.09</v>
      </c>
      <c r="DZ18" s="82">
        <f t="shared" ref="DZ18:ED18" si="73">IFERROR(AVERAGE(IFERROR(VALUE(C18),""),IFERROR(VALUE(H18),""),IFERROR(VALUE(M18),""),IFERROR(VALUE(R18),""),IFERROR(VALUE(W18),""),IFERROR(VALUE(AB18),"")),"")</f>
        <v>0.6513333333</v>
      </c>
      <c r="EA18" s="35">
        <f t="shared" si="73"/>
        <v>0.7206666667</v>
      </c>
      <c r="EB18" s="424">
        <f t="shared" si="73"/>
        <v>0.517</v>
      </c>
      <c r="EC18" s="34">
        <f t="shared" si="73"/>
        <v>0.4856666667</v>
      </c>
      <c r="ED18" s="425">
        <f t="shared" si="73"/>
        <v>0.268</v>
      </c>
      <c r="EE18" s="426">
        <f t="shared" ref="EE18:EG18" si="74">IFERROR(AVERAGE(IFERROR(VALUE(AG18),""),IFERROR(VALUE(AJ18),""),IFERROR(VALUE(AM18),""),IFERROR(VALUE(AP18),""),IFERROR(VALUE(AS18),"")),"")</f>
        <v>0.2462</v>
      </c>
      <c r="EF18" s="41">
        <f t="shared" si="74"/>
        <v>0.6698</v>
      </c>
      <c r="EG18" s="427">
        <f t="shared" si="74"/>
        <v>0.5176</v>
      </c>
      <c r="EH18" s="41">
        <v>0.655</v>
      </c>
      <c r="EI18" s="64">
        <v>0.687</v>
      </c>
      <c r="EJ18" s="428">
        <f t="shared" si="55"/>
        <v>0.9295766871</v>
      </c>
      <c r="EK18" s="41">
        <f t="shared" si="56"/>
        <v>0.7596202639</v>
      </c>
      <c r="EL18" s="74">
        <f t="shared" si="57"/>
        <v>0.7016733129</v>
      </c>
      <c r="EM18" s="41">
        <f t="shared" si="58"/>
        <v>0.4812297672</v>
      </c>
      <c r="EN18" s="113">
        <f t="shared" si="59"/>
        <v>0.2688417443</v>
      </c>
      <c r="EO18" s="91">
        <v>0.966</v>
      </c>
      <c r="EP18" s="35">
        <f t="shared" ref="EP18:EQ18" si="75">IFERROR(AVERAGE(IFERROR(VALUE(CQ18),""),IFERROR(VALUE(CX18),""),IFERROR(VALUE(DE18),""),IFERROR(VALUE(DM18),"")),"")</f>
        <v>0.76325</v>
      </c>
      <c r="EQ18" s="404">
        <f t="shared" si="75"/>
        <v>0.79025</v>
      </c>
      <c r="ER18" s="80">
        <f t="shared" ref="ER18:ES18" si="76">IFERROR(AVERAGE(IFERROR(VALUE(CU18),""),IFERROR(VALUE(DB18),""),IFERROR(VALUE(DI18),""),IFERROR(VALUE(DO18),"")),"")</f>
        <v>0.48075</v>
      </c>
      <c r="ES18" s="264">
        <f t="shared" si="76"/>
        <v>0.32575</v>
      </c>
      <c r="ET18" s="429">
        <f t="shared" ref="ET18:EU18" si="77">IFERROR(AVERAGE(IFERROR(VALUE(CS18),""),IFERROR(VALUE(CZ18),""),IFERROR(VALUE(DG18),"")),"")</f>
        <v>0.5416666667</v>
      </c>
      <c r="EU18" s="430">
        <f t="shared" si="77"/>
        <v>0.1476666667</v>
      </c>
      <c r="EV18" s="51">
        <v>0.61</v>
      </c>
      <c r="EW18" s="51">
        <v>0.098</v>
      </c>
    </row>
    <row r="19">
      <c r="A19" s="52"/>
      <c r="B19" s="53" t="s">
        <v>723</v>
      </c>
      <c r="C19" s="25">
        <v>0.917</v>
      </c>
      <c r="D19" s="26" t="s">
        <v>163</v>
      </c>
      <c r="E19" s="26" t="s">
        <v>504</v>
      </c>
      <c r="F19" s="26" t="s">
        <v>505</v>
      </c>
      <c r="G19" s="26" t="s">
        <v>121</v>
      </c>
      <c r="H19" s="26">
        <v>0.782</v>
      </c>
      <c r="I19" s="26" t="s">
        <v>506</v>
      </c>
      <c r="J19" s="26" t="s">
        <v>329</v>
      </c>
      <c r="K19" s="26" t="s">
        <v>396</v>
      </c>
      <c r="L19" s="26" t="s">
        <v>507</v>
      </c>
      <c r="M19" s="26">
        <v>0.741</v>
      </c>
      <c r="N19" s="26" t="s">
        <v>326</v>
      </c>
      <c r="O19" s="26" t="s">
        <v>508</v>
      </c>
      <c r="P19" s="26" t="s">
        <v>509</v>
      </c>
      <c r="Q19" s="26" t="s">
        <v>354</v>
      </c>
      <c r="R19" s="26">
        <v>0.637</v>
      </c>
      <c r="S19" s="26" t="s">
        <v>164</v>
      </c>
      <c r="T19" s="26" t="s">
        <v>510</v>
      </c>
      <c r="U19" s="26" t="s">
        <v>511</v>
      </c>
      <c r="V19" s="26" t="s">
        <v>512</v>
      </c>
      <c r="W19" s="26">
        <v>0.906</v>
      </c>
      <c r="X19" s="26" t="s">
        <v>513</v>
      </c>
      <c r="Y19" s="26" t="s">
        <v>514</v>
      </c>
      <c r="Z19" s="26" t="s">
        <v>515</v>
      </c>
      <c r="AA19" s="26" t="s">
        <v>516</v>
      </c>
      <c r="AB19" s="26">
        <v>0.728</v>
      </c>
      <c r="AC19" s="26" t="s">
        <v>290</v>
      </c>
      <c r="AD19" s="26" t="s">
        <v>508</v>
      </c>
      <c r="AE19" s="26" t="s">
        <v>517</v>
      </c>
      <c r="AF19" s="27" t="s">
        <v>518</v>
      </c>
      <c r="AG19" s="26">
        <v>0.513</v>
      </c>
      <c r="AH19" s="26" t="s">
        <v>484</v>
      </c>
      <c r="AI19" s="26" t="s">
        <v>519</v>
      </c>
      <c r="AJ19" s="26">
        <v>0.098</v>
      </c>
      <c r="AK19" s="26" t="s">
        <v>520</v>
      </c>
      <c r="AL19" s="26" t="s">
        <v>253</v>
      </c>
      <c r="AM19" s="26">
        <v>0.457</v>
      </c>
      <c r="AN19" s="26" t="s">
        <v>521</v>
      </c>
      <c r="AO19" s="26" t="s">
        <v>522</v>
      </c>
      <c r="AP19" s="26">
        <v>0.215</v>
      </c>
      <c r="AQ19" s="26" t="s">
        <v>410</v>
      </c>
      <c r="AR19" s="26" t="s">
        <v>55</v>
      </c>
      <c r="AS19" s="26">
        <v>0.489</v>
      </c>
      <c r="AT19" s="26" t="s">
        <v>523</v>
      </c>
      <c r="AU19" s="26" t="s">
        <v>524</v>
      </c>
      <c r="AV19" s="28"/>
      <c r="AW19" s="26"/>
      <c r="AX19" s="26"/>
      <c r="AY19" s="29"/>
      <c r="AZ19" s="26"/>
      <c r="BA19" s="26"/>
      <c r="BB19" s="29"/>
      <c r="BC19" s="26"/>
      <c r="BD19" s="26"/>
      <c r="BE19" s="29"/>
      <c r="BF19" s="26"/>
      <c r="BG19" s="26"/>
      <c r="BH19" s="29"/>
      <c r="BI19" s="26"/>
      <c r="BJ19" s="26"/>
      <c r="BK19" s="29"/>
      <c r="BL19" s="29"/>
      <c r="BM19" s="29"/>
      <c r="BN19" s="29"/>
      <c r="BO19" s="29"/>
      <c r="BP19" s="29"/>
      <c r="BQ19" s="26"/>
      <c r="BR19" s="26"/>
      <c r="BS19" s="27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4"/>
      <c r="CI19" s="4"/>
      <c r="CJ19" s="4"/>
      <c r="CK19" s="4"/>
      <c r="CL19" s="4"/>
      <c r="CM19" s="4"/>
      <c r="CN19" s="4"/>
      <c r="CO19" s="4"/>
      <c r="CP19" s="4"/>
      <c r="CQ19" s="145"/>
      <c r="CR19" s="4"/>
      <c r="CS19" s="4"/>
      <c r="CT19" s="4"/>
      <c r="CU19" s="4"/>
      <c r="CV19" s="4"/>
      <c r="CW19" s="4">
        <v>0.21</v>
      </c>
      <c r="CX19" s="4"/>
      <c r="CY19" s="4"/>
      <c r="CZ19" s="4"/>
      <c r="DA19" s="4"/>
      <c r="DB19" s="4"/>
      <c r="DC19" s="4"/>
      <c r="DD19" s="4">
        <v>0.455</v>
      </c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238"/>
      <c r="DQ19" s="4"/>
      <c r="DR19" s="4"/>
      <c r="DS19" s="4"/>
      <c r="DT19" s="4"/>
      <c r="DU19" s="4"/>
      <c r="DZ19" s="239">
        <f t="shared" ref="DZ19:ED19" si="78">IFERROR(AVERAGE(IFERROR(VALUE(C19),""),IFERROR(VALUE(H19),""),IFERROR(VALUE(M19),""),IFERROR(VALUE(R19),""),IFERROR(VALUE(W19),""),IFERROR(VALUE(AB19),"")),"")</f>
        <v>0.7851666667</v>
      </c>
      <c r="EA19" s="217">
        <f t="shared" si="78"/>
        <v>0.8001666667</v>
      </c>
      <c r="EB19" s="240">
        <f t="shared" si="78"/>
        <v>0.7083333333</v>
      </c>
      <c r="EC19" s="241">
        <f t="shared" si="78"/>
        <v>0.5515</v>
      </c>
      <c r="ED19" s="242">
        <f t="shared" si="78"/>
        <v>0.2806666667</v>
      </c>
      <c r="EE19" s="243">
        <f t="shared" ref="EE19:EG19" si="79">IFERROR(AVERAGE(IFERROR(VALUE(AG19),""),IFERROR(VALUE(AJ19),""),IFERROR(VALUE(AM19),""),IFERROR(VALUE(AP19),""),IFERROR(VALUE(AS19),"")),"")</f>
        <v>0.3544</v>
      </c>
      <c r="EF19" s="244">
        <f t="shared" si="79"/>
        <v>0.6936</v>
      </c>
      <c r="EG19" s="173">
        <f t="shared" si="79"/>
        <v>0.6058</v>
      </c>
      <c r="EH19" s="5"/>
      <c r="EI19" s="20"/>
      <c r="EJ19" s="145"/>
      <c r="EK19" s="245"/>
      <c r="EL19" s="246"/>
      <c r="EM19" s="247"/>
      <c r="EN19" s="248"/>
      <c r="EO19" s="145"/>
      <c r="EP19" s="4"/>
      <c r="EQ19" s="4"/>
      <c r="ER19" s="4"/>
      <c r="ES19" s="4"/>
      <c r="ET19" s="5"/>
      <c r="EU19" s="20"/>
      <c r="EV19" s="51"/>
      <c r="EW19" s="51"/>
    </row>
    <row r="20">
      <c r="A20" s="52"/>
      <c r="B20" s="53" t="s">
        <v>724</v>
      </c>
      <c r="C20" s="25">
        <v>0.903</v>
      </c>
      <c r="D20" s="26" t="s">
        <v>526</v>
      </c>
      <c r="E20" s="26" t="s">
        <v>86</v>
      </c>
      <c r="F20" s="26" t="s">
        <v>527</v>
      </c>
      <c r="G20" s="26" t="s">
        <v>255</v>
      </c>
      <c r="H20" s="26">
        <v>0.775</v>
      </c>
      <c r="I20" s="26" t="s">
        <v>528</v>
      </c>
      <c r="J20" s="26" t="s">
        <v>140</v>
      </c>
      <c r="K20" s="26" t="s">
        <v>104</v>
      </c>
      <c r="L20" s="26" t="s">
        <v>72</v>
      </c>
      <c r="M20" s="26">
        <v>0.741</v>
      </c>
      <c r="N20" s="26" t="s">
        <v>484</v>
      </c>
      <c r="O20" s="26" t="s">
        <v>412</v>
      </c>
      <c r="P20" s="26" t="s">
        <v>488</v>
      </c>
      <c r="Q20" s="26" t="s">
        <v>472</v>
      </c>
      <c r="R20" s="26">
        <v>0.632</v>
      </c>
      <c r="S20" s="26" t="s">
        <v>259</v>
      </c>
      <c r="T20" s="26" t="s">
        <v>182</v>
      </c>
      <c r="U20" s="26" t="s">
        <v>161</v>
      </c>
      <c r="V20" s="26" t="s">
        <v>529</v>
      </c>
      <c r="W20" s="26">
        <v>0.921</v>
      </c>
      <c r="X20" s="26" t="s">
        <v>77</v>
      </c>
      <c r="Y20" s="26" t="s">
        <v>116</v>
      </c>
      <c r="Z20" s="26" t="s">
        <v>467</v>
      </c>
      <c r="AA20" s="26" t="s">
        <v>530</v>
      </c>
      <c r="AB20" s="26">
        <v>0.762</v>
      </c>
      <c r="AC20" s="26" t="s">
        <v>531</v>
      </c>
      <c r="AD20" s="26" t="s">
        <v>143</v>
      </c>
      <c r="AE20" s="26" t="s">
        <v>62</v>
      </c>
      <c r="AF20" s="27" t="s">
        <v>178</v>
      </c>
      <c r="AG20" s="26">
        <v>0.522</v>
      </c>
      <c r="AH20" s="26" t="s">
        <v>117</v>
      </c>
      <c r="AI20" s="26" t="s">
        <v>163</v>
      </c>
      <c r="AJ20" s="26">
        <v>0.105</v>
      </c>
      <c r="AK20" s="26" t="s">
        <v>135</v>
      </c>
      <c r="AL20" s="26" t="s">
        <v>532</v>
      </c>
      <c r="AM20" s="26">
        <v>0.424</v>
      </c>
      <c r="AN20" s="26" t="s">
        <v>533</v>
      </c>
      <c r="AO20" s="26" t="s">
        <v>534</v>
      </c>
      <c r="AP20" s="26">
        <v>0.256</v>
      </c>
      <c r="AQ20" s="26" t="s">
        <v>164</v>
      </c>
      <c r="AR20" s="26" t="s">
        <v>535</v>
      </c>
      <c r="AS20" s="26">
        <v>0.458</v>
      </c>
      <c r="AT20" s="26" t="s">
        <v>536</v>
      </c>
      <c r="AU20" s="26" t="s">
        <v>479</v>
      </c>
      <c r="AV20" s="28"/>
      <c r="AW20" s="26"/>
      <c r="AX20" s="26"/>
      <c r="AY20" s="29"/>
      <c r="AZ20" s="26"/>
      <c r="BA20" s="26"/>
      <c r="BB20" s="29"/>
      <c r="BC20" s="26"/>
      <c r="BD20" s="26"/>
      <c r="BE20" s="29"/>
      <c r="BF20" s="26"/>
      <c r="BG20" s="26"/>
      <c r="BH20" s="29"/>
      <c r="BI20" s="26"/>
      <c r="BJ20" s="26"/>
      <c r="BK20" s="29"/>
      <c r="BL20" s="29"/>
      <c r="BM20" s="29"/>
      <c r="BN20" s="29"/>
      <c r="BO20" s="29"/>
      <c r="BP20" s="29"/>
      <c r="BQ20" s="26"/>
      <c r="BR20" s="26"/>
      <c r="BS20" s="27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4"/>
      <c r="CI20" s="4"/>
      <c r="CJ20" s="4"/>
      <c r="CK20" s="4"/>
      <c r="CL20" s="4"/>
      <c r="CM20" s="4"/>
      <c r="CN20" s="4"/>
      <c r="CO20" s="4"/>
      <c r="CP20" s="4"/>
      <c r="CQ20" s="145"/>
      <c r="CR20" s="4"/>
      <c r="CS20" s="4"/>
      <c r="CT20" s="4"/>
      <c r="CU20" s="4"/>
      <c r="CV20" s="4"/>
      <c r="CW20" s="4">
        <v>0.26</v>
      </c>
      <c r="CX20" s="4"/>
      <c r="CY20" s="4"/>
      <c r="CZ20" s="4"/>
      <c r="DA20" s="4"/>
      <c r="DB20" s="4"/>
      <c r="DC20" s="4"/>
      <c r="DD20" s="4">
        <v>0.514</v>
      </c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238"/>
      <c r="DQ20" s="4"/>
      <c r="DR20" s="4"/>
      <c r="DS20" s="4"/>
      <c r="DT20" s="4"/>
      <c r="DU20" s="4"/>
      <c r="DZ20" s="249">
        <f t="shared" ref="DZ20:ED20" si="80">IFERROR(AVERAGE(IFERROR(VALUE(C20),""),IFERROR(VALUE(H20),""),IFERROR(VALUE(M20),""),IFERROR(VALUE(R20),""),IFERROR(VALUE(W20),""),IFERROR(VALUE(AB20),"")),"")</f>
        <v>0.789</v>
      </c>
      <c r="EA20" s="223">
        <f t="shared" si="80"/>
        <v>0.8065</v>
      </c>
      <c r="EB20" s="135">
        <f t="shared" si="80"/>
        <v>0.7041666667</v>
      </c>
      <c r="EC20" s="89">
        <f t="shared" si="80"/>
        <v>0.5785</v>
      </c>
      <c r="ED20" s="250">
        <f t="shared" si="80"/>
        <v>0.318</v>
      </c>
      <c r="EE20" s="91">
        <f t="shared" ref="EE20:EG20" si="81">IFERROR(AVERAGE(IFERROR(VALUE(AG20),""),IFERROR(VALUE(AJ20),""),IFERROR(VALUE(AM20),""),IFERROR(VALUE(AP20),""),IFERROR(VALUE(AS20),"")),"")</f>
        <v>0.353</v>
      </c>
      <c r="EF20" s="251">
        <f t="shared" si="81"/>
        <v>0.694</v>
      </c>
      <c r="EG20" s="153">
        <f t="shared" si="81"/>
        <v>0.598</v>
      </c>
      <c r="EH20" s="5"/>
      <c r="EI20" s="20"/>
      <c r="EJ20" s="145"/>
      <c r="EK20" s="245"/>
      <c r="EL20" s="246"/>
      <c r="EM20" s="247"/>
      <c r="EN20" s="248"/>
      <c r="EO20" s="145"/>
      <c r="EP20" s="4"/>
      <c r="EQ20" s="4"/>
      <c r="ER20" s="4"/>
      <c r="ES20" s="4"/>
      <c r="ET20" s="5"/>
      <c r="EU20" s="20"/>
      <c r="EV20" s="51"/>
      <c r="EW20" s="51"/>
    </row>
    <row r="21" hidden="1">
      <c r="A21" s="52"/>
      <c r="B21" s="53" t="s">
        <v>704</v>
      </c>
      <c r="C21" s="25">
        <v>0.85</v>
      </c>
      <c r="D21" s="26" t="s">
        <v>431</v>
      </c>
      <c r="E21" s="26" t="s">
        <v>688</v>
      </c>
      <c r="F21" s="26" t="s">
        <v>55</v>
      </c>
      <c r="G21" s="26" t="s">
        <v>705</v>
      </c>
      <c r="H21" s="26">
        <v>0.738</v>
      </c>
      <c r="I21" s="26" t="s">
        <v>706</v>
      </c>
      <c r="J21" s="26" t="s">
        <v>707</v>
      </c>
      <c r="K21" s="26" t="s">
        <v>513</v>
      </c>
      <c r="L21" s="26" t="s">
        <v>340</v>
      </c>
      <c r="M21" s="26">
        <v>0.737</v>
      </c>
      <c r="N21" s="26" t="s">
        <v>99</v>
      </c>
      <c r="O21" s="26" t="s">
        <v>84</v>
      </c>
      <c r="P21" s="26" t="s">
        <v>67</v>
      </c>
      <c r="Q21" s="26" t="s">
        <v>708</v>
      </c>
      <c r="R21" s="26">
        <v>0.628</v>
      </c>
      <c r="S21" s="26" t="s">
        <v>90</v>
      </c>
      <c r="T21" s="26" t="s">
        <v>447</v>
      </c>
      <c r="U21" s="26" t="s">
        <v>65</v>
      </c>
      <c r="V21" s="26" t="s">
        <v>709</v>
      </c>
      <c r="W21" s="26">
        <v>0.899</v>
      </c>
      <c r="X21" s="26" t="s">
        <v>58</v>
      </c>
      <c r="Y21" s="26" t="s">
        <v>493</v>
      </c>
      <c r="Z21" s="26" t="s">
        <v>623</v>
      </c>
      <c r="AA21" s="26" t="s">
        <v>710</v>
      </c>
      <c r="AB21" s="26"/>
      <c r="AC21" s="26"/>
      <c r="AD21" s="26"/>
      <c r="AE21" s="26"/>
      <c r="AF21" s="27"/>
      <c r="AG21" s="26">
        <v>0.526</v>
      </c>
      <c r="AH21" s="26" t="s">
        <v>62</v>
      </c>
      <c r="AI21" s="26" t="s">
        <v>630</v>
      </c>
      <c r="AJ21" s="26">
        <v>0.116</v>
      </c>
      <c r="AK21" s="26" t="s">
        <v>711</v>
      </c>
      <c r="AL21" s="26"/>
      <c r="AM21" s="26">
        <v>0.452</v>
      </c>
      <c r="AN21" s="26" t="s">
        <v>369</v>
      </c>
      <c r="AO21" s="26" t="s">
        <v>712</v>
      </c>
      <c r="AP21" s="26"/>
      <c r="AQ21" s="26"/>
      <c r="AR21" s="26"/>
      <c r="AS21" s="26">
        <v>0.398</v>
      </c>
      <c r="AT21" s="26" t="s">
        <v>406</v>
      </c>
      <c r="AU21" s="26" t="s">
        <v>624</v>
      </c>
      <c r="AV21" s="28"/>
      <c r="AW21" s="26"/>
      <c r="AX21" s="26"/>
      <c r="AY21" s="29"/>
      <c r="AZ21" s="26"/>
      <c r="BA21" s="26"/>
      <c r="BB21" s="29"/>
      <c r="BC21" s="26"/>
      <c r="BD21" s="26"/>
      <c r="BE21" s="29"/>
      <c r="BF21" s="26"/>
      <c r="BG21" s="26"/>
      <c r="BH21" s="29"/>
      <c r="BI21" s="26"/>
      <c r="BJ21" s="26"/>
      <c r="BK21" s="29"/>
      <c r="BL21" s="29"/>
      <c r="BM21" s="29"/>
      <c r="BN21" s="29"/>
      <c r="BO21" s="29"/>
      <c r="BP21" s="29"/>
      <c r="BQ21" s="26"/>
      <c r="BR21" s="26"/>
      <c r="BS21" s="27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4"/>
      <c r="CI21" s="4" t="s">
        <v>692</v>
      </c>
      <c r="CJ21" s="4"/>
      <c r="CK21" s="4"/>
      <c r="CL21" s="4"/>
      <c r="CM21" s="4"/>
      <c r="CN21" s="4"/>
      <c r="CO21" s="4"/>
      <c r="CP21" s="4"/>
      <c r="CQ21" s="145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238"/>
      <c r="DQ21" s="4"/>
      <c r="DR21" s="4"/>
      <c r="DS21" s="4"/>
      <c r="DT21" s="4"/>
      <c r="DU21" s="4"/>
      <c r="DZ21" s="403">
        <f t="shared" ref="DZ21:ED21" si="82">IFERROR(AVERAGE(IFERROR(VALUE(C21),""),IFERROR(VALUE(H21),""),IFERROR(VALUE(M21),""),IFERROR(VALUE(R21),""),IFERROR(VALUE(W21),""),IFERROR(VALUE(AB21),"")),"")</f>
        <v>0.642</v>
      </c>
      <c r="EA21" s="404">
        <f t="shared" si="82"/>
        <v>0.637</v>
      </c>
      <c r="EB21" s="405">
        <f t="shared" si="82"/>
        <v>0.5601666667</v>
      </c>
      <c r="EC21" s="406">
        <f t="shared" si="82"/>
        <v>0.4045</v>
      </c>
      <c r="ED21" s="171">
        <f t="shared" si="82"/>
        <v>0.18</v>
      </c>
      <c r="EE21" s="403">
        <f t="shared" ref="EE21:EG21" si="83">IFERROR(AVERAGE(IFERROR(VALUE(AG21),""),IFERROR(VALUE(AJ21),""),IFERROR(VALUE(AM21),""),IFERROR(VALUE(AP21),""),IFERROR(VALUE(AS21),"")),"")</f>
        <v>0.2984</v>
      </c>
      <c r="EF21" s="4" t="str">
        <f t="shared" si="83"/>
        <v/>
      </c>
      <c r="EG21" s="407">
        <f t="shared" si="83"/>
        <v>0.413</v>
      </c>
      <c r="EH21" s="386">
        <f t="shared" ref="EH21:EI21" si="84">IFERROR(AVERAGE(IFERROR(VALUE(AW21),""),IFERROR(VALUE(AZ21),""),IFERROR(VALUE(BC21),""),IFERROR(VALUE(BF21),""),IFERROR(VALUE(BI21),"")),"")</f>
        <v>0</v>
      </c>
      <c r="EI21" s="387">
        <f t="shared" si="84"/>
        <v>0</v>
      </c>
      <c r="EJ21" s="408">
        <f t="shared" ref="EJ21:EJ30" si="91">IFERROR(AVERAGE(IFERROR(VALUE(BT21),""),IFERROR(VALUE(BY21),""),IFERROR(VALUE(CH21),"")),"")</f>
        <v>0</v>
      </c>
      <c r="EK21" s="245" t="str">
        <f t="shared" ref="EK21:EK30" si="92">IFERROR(AVERAGE(IFERROR(VALUE(BZ21),""),IFERROR(VALUE(CD21),""),IFERROR(VALUE(CI21),""),IFERROR(VALUE(CM21),"")),"")</f>
        <v/>
      </c>
      <c r="EL21" s="386">
        <f t="shared" ref="EL21:EL30" si="93">IFERROR(AVERAGE(IFERROR(VALUE(CA21),""),IFERROR(VALUE(CE21),""),IFERROR(VALUE(CJ21),""), IFERROR(VALUE(CN21),"")),"")</f>
        <v>0</v>
      </c>
      <c r="EM21" s="386">
        <f t="shared" ref="EM21:EM30" si="94">IFERROR(AVERAGE(IFERROR(VALUE(CB21),""),IFERROR(VALUE(CF21),""),IFERROR(VALUE(CK21),""),IFERROR(VALUE(CO21),"")),"")</f>
        <v>0</v>
      </c>
      <c r="EN21" s="387">
        <f t="shared" ref="EN21:EN30" si="95">IFERROR(AVERAGE(IFERROR(VALUE(CC21),""),IFERROR(VALUE(CG21),""),IFERROR(VALUE(CL21),""), IFERROR(VALUE(CP21),"")),"")</f>
        <v>0</v>
      </c>
      <c r="EO21" s="385">
        <f t="shared" ref="EO21:EO23" si="96">IFERROR(AVERAGE(IFERROR(VALUE(DL21),"")),"")</f>
        <v>0</v>
      </c>
      <c r="EP21" s="386">
        <f t="shared" ref="EP21:EQ21" si="85">IFERROR(AVERAGE(IFERROR(VALUE(CQ21),""),IFERROR(VALUE(CX21),""),IFERROR(VALUE(DE21),""),IFERROR(VALUE(DM21),"")),"")</f>
        <v>0</v>
      </c>
      <c r="EQ21" s="386">
        <f t="shared" si="85"/>
        <v>0</v>
      </c>
      <c r="ER21" s="386">
        <f t="shared" ref="ER21:ES21" si="86">IFERROR(AVERAGE(IFERROR(VALUE(CU21),""),IFERROR(VALUE(DB21),""),IFERROR(VALUE(DI21),""),IFERROR(VALUE(DO21),"")),"")</f>
        <v>0</v>
      </c>
      <c r="ES21" s="386">
        <f t="shared" si="86"/>
        <v>0</v>
      </c>
      <c r="ET21" s="386">
        <f t="shared" ref="ET21:EU21" si="87">IFERROR(AVERAGE(IFERROR(VALUE(CS21),""),IFERROR(VALUE(CZ21),""),IFERROR(VALUE(DG21),"")),"")</f>
        <v>0</v>
      </c>
      <c r="EU21" s="387">
        <f t="shared" si="87"/>
        <v>0</v>
      </c>
      <c r="EV21" s="51"/>
      <c r="EW21" s="51"/>
    </row>
    <row r="22" hidden="1">
      <c r="A22" s="52"/>
      <c r="B22" s="53" t="s">
        <v>713</v>
      </c>
      <c r="C22" s="25">
        <v>0.87</v>
      </c>
      <c r="D22" s="26" t="s">
        <v>621</v>
      </c>
      <c r="E22" s="26" t="s">
        <v>104</v>
      </c>
      <c r="F22" s="26" t="s">
        <v>143</v>
      </c>
      <c r="G22" s="26" t="s">
        <v>153</v>
      </c>
      <c r="H22" s="26">
        <v>0.759</v>
      </c>
      <c r="I22" s="26" t="s">
        <v>111</v>
      </c>
      <c r="J22" s="26" t="s">
        <v>58</v>
      </c>
      <c r="K22" s="26" t="s">
        <v>464</v>
      </c>
      <c r="L22" s="26" t="s">
        <v>65</v>
      </c>
      <c r="M22" s="26">
        <v>0.733</v>
      </c>
      <c r="N22" s="26" t="s">
        <v>535</v>
      </c>
      <c r="O22" s="26" t="s">
        <v>187</v>
      </c>
      <c r="P22" s="26" t="s">
        <v>714</v>
      </c>
      <c r="Q22" s="26" t="s">
        <v>715</v>
      </c>
      <c r="R22" s="26">
        <v>0.608</v>
      </c>
      <c r="S22" s="26" t="s">
        <v>402</v>
      </c>
      <c r="T22" s="26" t="s">
        <v>269</v>
      </c>
      <c r="U22" s="26" t="s">
        <v>270</v>
      </c>
      <c r="V22" s="26" t="s">
        <v>716</v>
      </c>
      <c r="W22" s="26">
        <v>0.841</v>
      </c>
      <c r="X22" s="26" t="s">
        <v>80</v>
      </c>
      <c r="Y22" s="26" t="s">
        <v>200</v>
      </c>
      <c r="Z22" s="26" t="s">
        <v>717</v>
      </c>
      <c r="AA22" s="26" t="s">
        <v>381</v>
      </c>
      <c r="AB22" s="26"/>
      <c r="AC22" s="26"/>
      <c r="AD22" s="26"/>
      <c r="AE22" s="26"/>
      <c r="AF22" s="27"/>
      <c r="AG22" s="26">
        <v>0.505</v>
      </c>
      <c r="AH22" s="26" t="s">
        <v>200</v>
      </c>
      <c r="AI22" s="26" t="s">
        <v>718</v>
      </c>
      <c r="AJ22" s="26">
        <v>0.107</v>
      </c>
      <c r="AK22" s="26" t="s">
        <v>92</v>
      </c>
      <c r="AL22" s="26" t="s">
        <v>633</v>
      </c>
      <c r="AM22" s="26">
        <v>0.417</v>
      </c>
      <c r="AN22" s="26" t="s">
        <v>149</v>
      </c>
      <c r="AO22" s="26" t="s">
        <v>719</v>
      </c>
      <c r="AP22" s="26"/>
      <c r="AQ22" s="26"/>
      <c r="AR22" s="26"/>
      <c r="AS22" s="26">
        <v>0.482</v>
      </c>
      <c r="AT22" s="26" t="s">
        <v>251</v>
      </c>
      <c r="AU22" s="26" t="s">
        <v>464</v>
      </c>
      <c r="AV22" s="28"/>
      <c r="AW22" s="26"/>
      <c r="AX22" s="26"/>
      <c r="AY22" s="29"/>
      <c r="AZ22" s="26"/>
      <c r="BA22" s="26"/>
      <c r="BB22" s="29"/>
      <c r="BC22" s="26"/>
      <c r="BD22" s="26"/>
      <c r="BE22" s="29"/>
      <c r="BF22" s="26"/>
      <c r="BG22" s="26"/>
      <c r="BH22" s="29"/>
      <c r="BI22" s="26"/>
      <c r="BJ22" s="26"/>
      <c r="BK22" s="29"/>
      <c r="BL22" s="29"/>
      <c r="BM22" s="29"/>
      <c r="BN22" s="29"/>
      <c r="BO22" s="29"/>
      <c r="BP22" s="29"/>
      <c r="BQ22" s="26"/>
      <c r="BR22" s="26"/>
      <c r="BS22" s="27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4"/>
      <c r="CI22" s="4"/>
      <c r="CJ22" s="4"/>
      <c r="CK22" s="4"/>
      <c r="CL22" s="4"/>
      <c r="CM22" s="4"/>
      <c r="CN22" s="4"/>
      <c r="CO22" s="4"/>
      <c r="CP22" s="4"/>
      <c r="CQ22" s="145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238"/>
      <c r="DQ22" s="4"/>
      <c r="DR22" s="4"/>
      <c r="DS22" s="4"/>
      <c r="DT22" s="4"/>
      <c r="DU22" s="4"/>
      <c r="DZ22" s="409">
        <f t="shared" ref="DZ22:ED22" si="88">IFERROR(AVERAGE(IFERROR(VALUE(C22),""),IFERROR(VALUE(H22),""),IFERROR(VALUE(M22),""),IFERROR(VALUE(R22),""),IFERROR(VALUE(W22),""),IFERROR(VALUE(AB22),"")),"")</f>
        <v>0.6351666667</v>
      </c>
      <c r="EA22" s="404">
        <f t="shared" si="88"/>
        <v>0.6338333333</v>
      </c>
      <c r="EB22" s="109">
        <f t="shared" si="88"/>
        <v>0.5485</v>
      </c>
      <c r="EC22" s="406">
        <f t="shared" si="88"/>
        <v>0.4041666667</v>
      </c>
      <c r="ED22" s="85">
        <f t="shared" si="88"/>
        <v>0.1815</v>
      </c>
      <c r="EE22" s="410">
        <f t="shared" ref="EE22:EG22" si="89">IFERROR(AVERAGE(IFERROR(VALUE(AG22),""),IFERROR(VALUE(AJ22),""),IFERROR(VALUE(AM22),""),IFERROR(VALUE(AP22),""),IFERROR(VALUE(AS22),"")),"")</f>
        <v>0.3022</v>
      </c>
      <c r="EF22" s="406">
        <f t="shared" si="89"/>
        <v>0.58</v>
      </c>
      <c r="EG22" s="411">
        <f t="shared" si="89"/>
        <v>0.4748</v>
      </c>
      <c r="EH22" s="386">
        <f t="shared" ref="EH22:EI22" si="90">IFERROR(AVERAGE(IFERROR(VALUE(AW22),""),IFERROR(VALUE(AZ22),""),IFERROR(VALUE(BC22),""),IFERROR(VALUE(BF22),""),IFERROR(VALUE(BI22),"")),"")</f>
        <v>0</v>
      </c>
      <c r="EI22" s="387">
        <f t="shared" si="90"/>
        <v>0</v>
      </c>
      <c r="EJ22" s="385">
        <f t="shared" si="91"/>
        <v>0</v>
      </c>
      <c r="EK22" s="386">
        <f t="shared" si="92"/>
        <v>0</v>
      </c>
      <c r="EL22" s="386">
        <f t="shared" si="93"/>
        <v>0</v>
      </c>
      <c r="EM22" s="386">
        <f t="shared" si="94"/>
        <v>0</v>
      </c>
      <c r="EN22" s="387">
        <f t="shared" si="95"/>
        <v>0</v>
      </c>
      <c r="EO22" s="385">
        <f t="shared" si="96"/>
        <v>0</v>
      </c>
      <c r="EP22" s="386">
        <f t="shared" ref="EP22:EQ22" si="97">IFERROR(AVERAGE(IFERROR(VALUE(CQ22),""),IFERROR(VALUE(CX22),""),IFERROR(VALUE(DE22),""),IFERROR(VALUE(DM22),"")),"")</f>
        <v>0</v>
      </c>
      <c r="EQ22" s="386">
        <f t="shared" si="97"/>
        <v>0</v>
      </c>
      <c r="ER22" s="386">
        <f t="shared" ref="ER22:ES22" si="98">IFERROR(AVERAGE(IFERROR(VALUE(CU22),""),IFERROR(VALUE(DB22),""),IFERROR(VALUE(DI22),""),IFERROR(VALUE(DO22),"")),"")</f>
        <v>0</v>
      </c>
      <c r="ES22" s="386">
        <f t="shared" si="98"/>
        <v>0</v>
      </c>
      <c r="ET22" s="386">
        <f t="shared" ref="ET22:EU22" si="99">IFERROR(AVERAGE(IFERROR(VALUE(CS22),""),IFERROR(VALUE(CZ22),""),IFERROR(VALUE(DG22),"")),"")</f>
        <v>0</v>
      </c>
      <c r="EU22" s="387">
        <f t="shared" si="99"/>
        <v>0</v>
      </c>
      <c r="EV22" s="51"/>
      <c r="EW22" s="51"/>
    </row>
    <row r="23" hidden="1">
      <c r="A23" s="52"/>
      <c r="B23" s="53" t="s">
        <v>720</v>
      </c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8"/>
      <c r="AW23" s="26"/>
      <c r="AX23" s="26"/>
      <c r="AY23" s="29"/>
      <c r="AZ23" s="26"/>
      <c r="BA23" s="26"/>
      <c r="BB23" s="29"/>
      <c r="BC23" s="26"/>
      <c r="BD23" s="26"/>
      <c r="BE23" s="29"/>
      <c r="BF23" s="26"/>
      <c r="BG23" s="26"/>
      <c r="BH23" s="29"/>
      <c r="BI23" s="26"/>
      <c r="BJ23" s="26"/>
      <c r="BK23" s="29"/>
      <c r="BL23" s="29"/>
      <c r="BM23" s="29"/>
      <c r="BN23" s="29"/>
      <c r="BO23" s="29"/>
      <c r="BP23" s="29"/>
      <c r="BQ23" s="26"/>
      <c r="BR23" s="26"/>
      <c r="BS23" s="27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4"/>
      <c r="CI23" s="4"/>
      <c r="CJ23" s="4"/>
      <c r="CK23" s="4"/>
      <c r="CL23" s="4"/>
      <c r="CM23" s="4"/>
      <c r="CN23" s="4"/>
      <c r="CO23" s="4"/>
      <c r="CP23" s="4"/>
      <c r="CQ23" s="145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238"/>
      <c r="DQ23" s="4"/>
      <c r="DR23" s="4"/>
      <c r="DS23" s="4"/>
      <c r="DT23" s="4"/>
      <c r="DU23" s="4"/>
      <c r="DZ23" s="385">
        <f t="shared" ref="DZ23:ED23" si="100">IFERROR(AVERAGE(IFERROR(VALUE(C23),""),IFERROR(VALUE(H23),""),IFERROR(VALUE(M23),""),IFERROR(VALUE(R23),""),IFERROR(VALUE(W23),""),IFERROR(VALUE(AB23),"")),"")</f>
        <v>0</v>
      </c>
      <c r="EA23" s="386">
        <f t="shared" si="100"/>
        <v>0</v>
      </c>
      <c r="EB23" s="386">
        <f t="shared" si="100"/>
        <v>0</v>
      </c>
      <c r="EC23" s="386">
        <f t="shared" si="100"/>
        <v>0</v>
      </c>
      <c r="ED23" s="387">
        <f t="shared" si="100"/>
        <v>0</v>
      </c>
      <c r="EE23" s="385">
        <f t="shared" ref="EE23:EG23" si="101">IFERROR(AVERAGE(IFERROR(VALUE(AG23),""),IFERROR(VALUE(AJ23),""),IFERROR(VALUE(AM23),""),IFERROR(VALUE(AP23),""),IFERROR(VALUE(AS23),"")),"")</f>
        <v>0</v>
      </c>
      <c r="EF23" s="386">
        <f t="shared" si="101"/>
        <v>0</v>
      </c>
      <c r="EG23" s="387">
        <f t="shared" si="101"/>
        <v>0</v>
      </c>
      <c r="EH23" s="386">
        <f t="shared" ref="EH23:EI23" si="102">IFERROR(AVERAGE(IFERROR(VALUE(AW23),""),IFERROR(VALUE(AZ23),""),IFERROR(VALUE(BC23),""),IFERROR(VALUE(BF23),""),IFERROR(VALUE(BI23),"")),"")</f>
        <v>0</v>
      </c>
      <c r="EI23" s="387">
        <f t="shared" si="102"/>
        <v>0</v>
      </c>
      <c r="EJ23" s="385">
        <f t="shared" si="91"/>
        <v>0</v>
      </c>
      <c r="EK23" s="386">
        <f t="shared" si="92"/>
        <v>0</v>
      </c>
      <c r="EL23" s="386">
        <f t="shared" si="93"/>
        <v>0</v>
      </c>
      <c r="EM23" s="386">
        <f t="shared" si="94"/>
        <v>0</v>
      </c>
      <c r="EN23" s="387">
        <f t="shared" si="95"/>
        <v>0</v>
      </c>
      <c r="EO23" s="385">
        <f t="shared" si="96"/>
        <v>0</v>
      </c>
      <c r="EP23" s="386">
        <f t="shared" ref="EP23:EQ23" si="103">IFERROR(AVERAGE(IFERROR(VALUE(CQ23),""),IFERROR(VALUE(CX23),""),IFERROR(VALUE(DE23),""),IFERROR(VALUE(DM23),"")),"")</f>
        <v>0</v>
      </c>
      <c r="EQ23" s="386">
        <f t="shared" si="103"/>
        <v>0</v>
      </c>
      <c r="ER23" s="386">
        <f t="shared" ref="ER23:ES23" si="104">IFERROR(AVERAGE(IFERROR(VALUE(CU23),""),IFERROR(VALUE(DB23),""),IFERROR(VALUE(DI23),""),IFERROR(VALUE(DO23),"")),"")</f>
        <v>0</v>
      </c>
      <c r="ES23" s="386">
        <f t="shared" si="104"/>
        <v>0</v>
      </c>
      <c r="ET23" s="386">
        <f t="shared" ref="ET23:EU23" si="105">IFERROR(AVERAGE(IFERROR(VALUE(CS23),""),IFERROR(VALUE(CZ23),""),IFERROR(VALUE(DG23),"")),"")</f>
        <v>0</v>
      </c>
      <c r="EU23" s="387">
        <f t="shared" si="105"/>
        <v>0</v>
      </c>
      <c r="EV23" s="51"/>
      <c r="EW23" s="51"/>
    </row>
    <row r="24">
      <c r="A24" s="52"/>
      <c r="B24" s="53" t="s">
        <v>540</v>
      </c>
      <c r="C24" s="25">
        <v>0.855</v>
      </c>
      <c r="D24" s="26" t="s">
        <v>541</v>
      </c>
      <c r="E24" s="26" t="s">
        <v>542</v>
      </c>
      <c r="F24" s="26" t="s">
        <v>164</v>
      </c>
      <c r="G24" s="26" t="s">
        <v>543</v>
      </c>
      <c r="H24" s="26">
        <v>0.266</v>
      </c>
      <c r="I24" s="26" t="s">
        <v>421</v>
      </c>
      <c r="J24" s="26" t="s">
        <v>183</v>
      </c>
      <c r="K24" s="26" t="s">
        <v>544</v>
      </c>
      <c r="L24" s="26" t="s">
        <v>545</v>
      </c>
      <c r="M24" s="26">
        <v>0.8</v>
      </c>
      <c r="N24" s="26" t="s">
        <v>123</v>
      </c>
      <c r="O24" s="26" t="s">
        <v>167</v>
      </c>
      <c r="P24" s="26" t="s">
        <v>546</v>
      </c>
      <c r="Q24" s="26" t="s">
        <v>547</v>
      </c>
      <c r="R24" s="26">
        <v>0.654</v>
      </c>
      <c r="S24" s="26" t="s">
        <v>548</v>
      </c>
      <c r="T24" s="26" t="s">
        <v>549</v>
      </c>
      <c r="U24" s="26" t="s">
        <v>550</v>
      </c>
      <c r="V24" s="26" t="s">
        <v>551</v>
      </c>
      <c r="W24" s="26">
        <v>0.784</v>
      </c>
      <c r="X24" s="26" t="s">
        <v>552</v>
      </c>
      <c r="Y24" s="26" t="s">
        <v>553</v>
      </c>
      <c r="Z24" s="26" t="s">
        <v>554</v>
      </c>
      <c r="AA24" s="26" t="s">
        <v>555</v>
      </c>
      <c r="AB24" s="26">
        <v>0.868</v>
      </c>
      <c r="AC24" s="26" t="s">
        <v>141</v>
      </c>
      <c r="AD24" s="26" t="s">
        <v>556</v>
      </c>
      <c r="AE24" s="26" t="s">
        <v>142</v>
      </c>
      <c r="AF24" s="27" t="s">
        <v>337</v>
      </c>
      <c r="AG24" s="26">
        <v>0.418</v>
      </c>
      <c r="AH24" s="26" t="s">
        <v>88</v>
      </c>
      <c r="AI24" s="26" t="s">
        <v>232</v>
      </c>
      <c r="AJ24" s="26">
        <v>0.086</v>
      </c>
      <c r="AK24" s="26" t="s">
        <v>464</v>
      </c>
      <c r="AL24" s="26" t="s">
        <v>557</v>
      </c>
      <c r="AM24" s="26">
        <v>0.534</v>
      </c>
      <c r="AN24" s="26" t="s">
        <v>481</v>
      </c>
      <c r="AO24" s="26" t="s">
        <v>193</v>
      </c>
      <c r="AP24" s="26">
        <v>0.255</v>
      </c>
      <c r="AQ24" s="26" t="s">
        <v>558</v>
      </c>
      <c r="AR24" s="26" t="s">
        <v>93</v>
      </c>
      <c r="AS24" s="26">
        <v>0.263</v>
      </c>
      <c r="AT24" s="26" t="s">
        <v>559</v>
      </c>
      <c r="AU24" s="26" t="s">
        <v>55</v>
      </c>
      <c r="AV24" s="28">
        <v>0.147</v>
      </c>
      <c r="AW24" s="26" t="s">
        <v>87</v>
      </c>
      <c r="AX24" s="26" t="s">
        <v>288</v>
      </c>
      <c r="AY24" s="29">
        <v>0.06</v>
      </c>
      <c r="AZ24" s="26" t="s">
        <v>560</v>
      </c>
      <c r="BA24" s="26" t="s">
        <v>531</v>
      </c>
      <c r="BB24" s="29">
        <v>0.074</v>
      </c>
      <c r="BC24" s="26" t="s">
        <v>140</v>
      </c>
      <c r="BD24" s="26" t="s">
        <v>80</v>
      </c>
      <c r="BE24" s="29">
        <v>0.23</v>
      </c>
      <c r="BF24" s="26" t="s">
        <v>281</v>
      </c>
      <c r="BG24" s="26" t="s">
        <v>96</v>
      </c>
      <c r="BH24" s="29">
        <v>0.138</v>
      </c>
      <c r="BI24" s="26" t="s">
        <v>179</v>
      </c>
      <c r="BJ24" s="26" t="s">
        <v>489</v>
      </c>
      <c r="BK24" s="29">
        <v>0.114</v>
      </c>
      <c r="BL24" s="29">
        <v>0.739</v>
      </c>
      <c r="BM24" s="29">
        <v>0.796</v>
      </c>
      <c r="BN24" s="29">
        <v>0.112</v>
      </c>
      <c r="BO24" s="29">
        <v>0.723</v>
      </c>
      <c r="BP24" s="29">
        <v>0.822</v>
      </c>
      <c r="BQ24" s="26"/>
      <c r="BR24" s="26"/>
      <c r="BS24" s="27"/>
      <c r="BT24" s="72">
        <v>0.797</v>
      </c>
      <c r="BU24" s="26" t="s">
        <v>219</v>
      </c>
      <c r="BV24" s="26" t="s">
        <v>205</v>
      </c>
      <c r="BW24" s="26" t="s">
        <v>256</v>
      </c>
      <c r="BX24" s="26" t="s">
        <v>81</v>
      </c>
      <c r="BY24" s="72">
        <v>0.841</v>
      </c>
      <c r="BZ24" s="26" t="s">
        <v>154</v>
      </c>
      <c r="CA24" s="26" t="s">
        <v>241</v>
      </c>
      <c r="CB24" s="26" t="s">
        <v>561</v>
      </c>
      <c r="CC24" s="26" t="s">
        <v>562</v>
      </c>
      <c r="CD24" s="26" t="s">
        <v>563</v>
      </c>
      <c r="CE24" s="26" t="s">
        <v>159</v>
      </c>
      <c r="CF24" s="26" t="s">
        <v>564</v>
      </c>
      <c r="CG24" s="26" t="s">
        <v>340</v>
      </c>
      <c r="CH24" s="4">
        <v>0.9856850716</v>
      </c>
      <c r="CI24" s="4">
        <v>0.976611924</v>
      </c>
      <c r="CJ24" s="4">
        <v>0.9915644172</v>
      </c>
      <c r="CK24" s="4">
        <v>0.8851536914</v>
      </c>
      <c r="CL24" s="4">
        <v>0.6555402039</v>
      </c>
      <c r="CM24" s="144">
        <v>0.688</v>
      </c>
      <c r="CN24" s="144">
        <v>0.749</v>
      </c>
      <c r="CO24" s="144">
        <v>0.379</v>
      </c>
      <c r="CP24" s="144">
        <v>0.134</v>
      </c>
      <c r="CQ24" s="145">
        <v>0.638</v>
      </c>
      <c r="CR24" s="4">
        <v>0.79</v>
      </c>
      <c r="CS24" s="4">
        <v>0.544</v>
      </c>
      <c r="CT24" s="4">
        <v>0.09</v>
      </c>
      <c r="CU24" s="4">
        <v>0.265</v>
      </c>
      <c r="CV24" s="4">
        <v>0.094</v>
      </c>
      <c r="CW24" s="4">
        <v>0.165</v>
      </c>
      <c r="CX24" s="4">
        <v>0.908</v>
      </c>
      <c r="CY24" s="4">
        <v>0.973</v>
      </c>
      <c r="CZ24" s="4">
        <v>0.643</v>
      </c>
      <c r="DA24" s="4">
        <v>0.243</v>
      </c>
      <c r="DB24" s="4">
        <v>0.849</v>
      </c>
      <c r="DC24" s="4">
        <v>0.678</v>
      </c>
      <c r="DD24" s="4">
        <v>0.251</v>
      </c>
      <c r="DE24" s="4">
        <v>0.685</v>
      </c>
      <c r="DF24" s="4">
        <v>0.802</v>
      </c>
      <c r="DG24" s="4">
        <v>0.473</v>
      </c>
      <c r="DH24" s="4">
        <v>0.062</v>
      </c>
      <c r="DI24" s="4">
        <v>0.319</v>
      </c>
      <c r="DJ24" s="4">
        <v>0.175</v>
      </c>
      <c r="DK24" s="4">
        <v>0.073</v>
      </c>
      <c r="DL24" s="4">
        <v>0.957</v>
      </c>
      <c r="DM24" s="4" t="s">
        <v>158</v>
      </c>
      <c r="DN24" s="4" t="s">
        <v>565</v>
      </c>
      <c r="DO24" s="4" t="s">
        <v>385</v>
      </c>
      <c r="DP24" s="238" t="s">
        <v>566</v>
      </c>
      <c r="DQ24" s="352">
        <v>0.241</v>
      </c>
      <c r="DR24" s="352">
        <v>0.643</v>
      </c>
      <c r="DS24" s="352">
        <v>0.743</v>
      </c>
      <c r="DT24" s="352">
        <v>0.218</v>
      </c>
      <c r="DU24" s="352">
        <v>0.091</v>
      </c>
      <c r="DZ24" s="108">
        <f t="shared" ref="DZ24:ED24" si="106">IFERROR(AVERAGE(IFERROR(VALUE(C24),""),IFERROR(VALUE(H24),""),IFERROR(VALUE(M24),""),IFERROR(VALUE(R24),""),IFERROR(VALUE(W24),""),IFERROR(VALUE(AB24),"")),"")</f>
        <v>0.7045</v>
      </c>
      <c r="EA24" s="41">
        <f t="shared" si="106"/>
        <v>0.7143333333</v>
      </c>
      <c r="EB24" s="74">
        <f t="shared" si="106"/>
        <v>0.5718333333</v>
      </c>
      <c r="EC24" s="35">
        <f t="shared" si="106"/>
        <v>0.4733333333</v>
      </c>
      <c r="ED24" s="252">
        <f t="shared" si="106"/>
        <v>0.1875</v>
      </c>
      <c r="EE24" s="253">
        <f t="shared" ref="EE24:EG24" si="107">IFERROR(AVERAGE(IFERROR(VALUE(AG24),""),IFERROR(VALUE(AJ24),""),IFERROR(VALUE(AM24),""),IFERROR(VALUE(AP24),""),IFERROR(VALUE(AS24),"")),"")</f>
        <v>0.3112</v>
      </c>
      <c r="EF24" s="254">
        <f t="shared" si="107"/>
        <v>0.7036</v>
      </c>
      <c r="EG24" s="255">
        <f t="shared" si="107"/>
        <v>0.6338</v>
      </c>
      <c r="EH24" s="229">
        <v>0.685</v>
      </c>
      <c r="EI24" s="57">
        <v>0.792</v>
      </c>
      <c r="EJ24" s="256">
        <f t="shared" si="91"/>
        <v>0.8745616905</v>
      </c>
      <c r="EK24" s="257">
        <f t="shared" si="92"/>
        <v>0.801152981</v>
      </c>
      <c r="EL24" s="163">
        <f t="shared" si="93"/>
        <v>0.7976411043</v>
      </c>
      <c r="EM24" s="258">
        <f t="shared" si="94"/>
        <v>0.5327884229</v>
      </c>
      <c r="EN24" s="259">
        <f t="shared" si="95"/>
        <v>0.296135051</v>
      </c>
      <c r="EO24" s="260">
        <v>0.957</v>
      </c>
      <c r="EP24" s="83">
        <f t="shared" ref="EP24:EQ24" si="108">IFERROR(AVERAGE(IFERROR(VALUE(CQ24),""),IFERROR(VALUE(CX24),""),IFERROR(VALUE(DE24),""),IFERROR(VALUE(DM24),"")),"")</f>
        <v>0.76975</v>
      </c>
      <c r="EQ24" s="41">
        <f t="shared" si="108"/>
        <v>0.88075</v>
      </c>
      <c r="ER24" s="34">
        <f t="shared" ref="ER24:ES24" si="109">IFERROR(AVERAGE(IFERROR(VALUE(CU24),""),IFERROR(VALUE(DB24),""),IFERROR(VALUE(DI24),""),IFERROR(VALUE(DO24),"")),"")</f>
        <v>0.511</v>
      </c>
      <c r="ES24" s="35">
        <f t="shared" si="109"/>
        <v>0.36375</v>
      </c>
      <c r="ET24" s="261">
        <f t="shared" ref="ET24:EU24" si="110">IFERROR(AVERAGE(IFERROR(VALUE(CS24),""),IFERROR(VALUE(CZ24),""),IFERROR(VALUE(DG24),"")),"")</f>
        <v>0.5533333333</v>
      </c>
      <c r="EU24" s="262">
        <f t="shared" si="110"/>
        <v>0.1316666667</v>
      </c>
      <c r="EV24" s="51">
        <v>0.627</v>
      </c>
      <c r="EW24" s="51">
        <v>0.125</v>
      </c>
    </row>
    <row r="25">
      <c r="A25" s="52"/>
      <c r="B25" s="53" t="s">
        <v>567</v>
      </c>
      <c r="C25" s="25">
        <v>0.823</v>
      </c>
      <c r="D25" s="26" t="s">
        <v>244</v>
      </c>
      <c r="E25" s="26" t="s">
        <v>385</v>
      </c>
      <c r="F25" s="26" t="s">
        <v>332</v>
      </c>
      <c r="G25" s="26" t="s">
        <v>568</v>
      </c>
      <c r="H25" s="26">
        <v>0.33</v>
      </c>
      <c r="I25" s="26" t="s">
        <v>569</v>
      </c>
      <c r="J25" s="26" t="s">
        <v>570</v>
      </c>
      <c r="K25" s="26" t="s">
        <v>571</v>
      </c>
      <c r="L25" s="26" t="s">
        <v>545</v>
      </c>
      <c r="M25" s="26">
        <v>0.758</v>
      </c>
      <c r="N25" s="26" t="s">
        <v>443</v>
      </c>
      <c r="O25" s="26" t="s">
        <v>439</v>
      </c>
      <c r="P25" s="26" t="s">
        <v>572</v>
      </c>
      <c r="Q25" s="26" t="s">
        <v>573</v>
      </c>
      <c r="R25" s="26">
        <v>0.639</v>
      </c>
      <c r="S25" s="26" t="s">
        <v>574</v>
      </c>
      <c r="T25" s="26" t="s">
        <v>319</v>
      </c>
      <c r="U25" s="26" t="s">
        <v>575</v>
      </c>
      <c r="V25" s="26" t="s">
        <v>576</v>
      </c>
      <c r="W25" s="26">
        <v>0.863</v>
      </c>
      <c r="X25" s="26" t="s">
        <v>577</v>
      </c>
      <c r="Y25" s="26" t="s">
        <v>578</v>
      </c>
      <c r="Z25" s="26" t="s">
        <v>579</v>
      </c>
      <c r="AA25" s="26" t="s">
        <v>580</v>
      </c>
      <c r="AB25" s="26">
        <v>0.74</v>
      </c>
      <c r="AC25" s="26" t="s">
        <v>581</v>
      </c>
      <c r="AD25" s="26" t="s">
        <v>582</v>
      </c>
      <c r="AE25" s="26" t="s">
        <v>149</v>
      </c>
      <c r="AF25" s="27" t="s">
        <v>583</v>
      </c>
      <c r="AG25" s="26">
        <v>0.428</v>
      </c>
      <c r="AH25" s="26" t="s">
        <v>194</v>
      </c>
      <c r="AI25" s="26" t="s">
        <v>584</v>
      </c>
      <c r="AJ25" s="26">
        <v>0.087</v>
      </c>
      <c r="AK25" s="26" t="s">
        <v>558</v>
      </c>
      <c r="AL25" s="26" t="s">
        <v>295</v>
      </c>
      <c r="AM25" s="26">
        <v>0.571</v>
      </c>
      <c r="AN25" s="26" t="s">
        <v>585</v>
      </c>
      <c r="AO25" s="26" t="s">
        <v>206</v>
      </c>
      <c r="AP25" s="26">
        <v>0.081</v>
      </c>
      <c r="AQ25" s="26" t="s">
        <v>262</v>
      </c>
      <c r="AR25" s="26" t="s">
        <v>229</v>
      </c>
      <c r="AS25" s="26">
        <v>0.389</v>
      </c>
      <c r="AT25" s="26" t="s">
        <v>131</v>
      </c>
      <c r="AU25" s="26" t="s">
        <v>235</v>
      </c>
      <c r="AV25" s="28">
        <v>0.214</v>
      </c>
      <c r="AW25" s="26" t="s">
        <v>196</v>
      </c>
      <c r="AX25" s="26" t="s">
        <v>586</v>
      </c>
      <c r="AY25" s="29">
        <v>0.069</v>
      </c>
      <c r="AZ25" s="26" t="s">
        <v>587</v>
      </c>
      <c r="BA25" s="26" t="s">
        <v>185</v>
      </c>
      <c r="BB25" s="29">
        <v>0.105</v>
      </c>
      <c r="BC25" s="26" t="s">
        <v>588</v>
      </c>
      <c r="BD25" s="26" t="s">
        <v>119</v>
      </c>
      <c r="BE25" s="29">
        <v>0.257</v>
      </c>
      <c r="BF25" s="26" t="s">
        <v>402</v>
      </c>
      <c r="BG25" s="26" t="s">
        <v>589</v>
      </c>
      <c r="BH25" s="29">
        <v>0.119</v>
      </c>
      <c r="BI25" s="26" t="s">
        <v>304</v>
      </c>
      <c r="BJ25" s="26" t="s">
        <v>590</v>
      </c>
      <c r="BK25" s="29">
        <v>0.125</v>
      </c>
      <c r="BL25" s="29">
        <v>0.642</v>
      </c>
      <c r="BM25" s="29">
        <v>0.779</v>
      </c>
      <c r="BN25" s="29">
        <v>0.114</v>
      </c>
      <c r="BO25" s="29">
        <v>0.657</v>
      </c>
      <c r="BP25" s="29">
        <v>0.816</v>
      </c>
      <c r="BQ25" s="26"/>
      <c r="BR25" s="26"/>
      <c r="BS25" s="27"/>
      <c r="BT25" s="26">
        <v>0.742</v>
      </c>
      <c r="BU25" s="26" t="s">
        <v>441</v>
      </c>
      <c r="BV25" s="26" t="s">
        <v>591</v>
      </c>
      <c r="BW25" s="26" t="s">
        <v>488</v>
      </c>
      <c r="BX25" s="26" t="s">
        <v>592</v>
      </c>
      <c r="BY25" s="26">
        <v>0.841</v>
      </c>
      <c r="BZ25" s="26" t="s">
        <v>88</v>
      </c>
      <c r="CA25" s="26" t="s">
        <v>306</v>
      </c>
      <c r="CB25" s="26" t="s">
        <v>593</v>
      </c>
      <c r="CC25" s="26" t="s">
        <v>127</v>
      </c>
      <c r="CD25" s="26" t="s">
        <v>594</v>
      </c>
      <c r="CE25" s="72">
        <v>0.56</v>
      </c>
      <c r="CF25" s="26" t="s">
        <v>248</v>
      </c>
      <c r="CG25" s="26" t="s">
        <v>595</v>
      </c>
      <c r="CH25" s="4">
        <v>0.9700920245</v>
      </c>
      <c r="CI25" s="4">
        <v>0.9343732325</v>
      </c>
      <c r="CJ25" s="4">
        <v>0.9930981595</v>
      </c>
      <c r="CK25" s="4">
        <v>0.8159253752</v>
      </c>
      <c r="CL25" s="4">
        <v>0.5463171349</v>
      </c>
      <c r="CM25" s="144">
        <v>0.63</v>
      </c>
      <c r="CN25" s="144">
        <v>0.629</v>
      </c>
      <c r="CO25" s="144">
        <v>0.26</v>
      </c>
      <c r="CP25" s="144">
        <v>0.068</v>
      </c>
      <c r="CQ25" s="145">
        <v>0.65</v>
      </c>
      <c r="CR25" s="4">
        <v>0.88</v>
      </c>
      <c r="CS25" s="4">
        <v>0.54</v>
      </c>
      <c r="CT25" s="4">
        <v>0.109</v>
      </c>
      <c r="CU25" s="4">
        <v>0.265</v>
      </c>
      <c r="CV25" s="4">
        <v>0.078</v>
      </c>
      <c r="CW25" s="4">
        <v>0.175</v>
      </c>
      <c r="CX25" s="4">
        <v>0.917</v>
      </c>
      <c r="CY25" s="4">
        <v>0.968</v>
      </c>
      <c r="CZ25" s="4">
        <v>0.689</v>
      </c>
      <c r="DA25" s="4">
        <v>0.207</v>
      </c>
      <c r="DB25" s="4">
        <v>0.741</v>
      </c>
      <c r="DC25" s="4">
        <v>0.556</v>
      </c>
      <c r="DD25" s="4">
        <v>0.307</v>
      </c>
      <c r="DE25" s="4">
        <v>0.636</v>
      </c>
      <c r="DF25" s="4">
        <v>0.783</v>
      </c>
      <c r="DG25" s="4">
        <v>0.474</v>
      </c>
      <c r="DH25" s="4">
        <v>0.078</v>
      </c>
      <c r="DI25" s="4">
        <v>0.171</v>
      </c>
      <c r="DJ25" s="4">
        <v>0.057</v>
      </c>
      <c r="DK25" s="4">
        <v>0.115</v>
      </c>
      <c r="DL25" s="4">
        <v>0.914</v>
      </c>
      <c r="DM25" s="4" t="s">
        <v>214</v>
      </c>
      <c r="DN25" s="4" t="s">
        <v>134</v>
      </c>
      <c r="DO25" s="4" t="s">
        <v>596</v>
      </c>
      <c r="DP25" s="238" t="s">
        <v>597</v>
      </c>
      <c r="DQ25" s="352">
        <v>0.254</v>
      </c>
      <c r="DR25" s="352">
        <v>0.606</v>
      </c>
      <c r="DS25" s="352">
        <v>0.759</v>
      </c>
      <c r="DT25" s="352">
        <v>0.158</v>
      </c>
      <c r="DU25" s="352">
        <v>0.05</v>
      </c>
      <c r="DZ25" s="263">
        <f t="shared" ref="DZ25:ED25" si="111">IFERROR(AVERAGE(IFERROR(VALUE(C25),""),IFERROR(VALUE(H25),""),IFERROR(VALUE(M25),""),IFERROR(VALUE(R25),""),IFERROR(VALUE(W25),""),IFERROR(VALUE(AB25),"")),"")</f>
        <v>0.6921666667</v>
      </c>
      <c r="EA25" s="264">
        <f t="shared" si="111"/>
        <v>0.6705333333</v>
      </c>
      <c r="EB25" s="265">
        <f t="shared" si="111"/>
        <v>0.4985</v>
      </c>
      <c r="EC25" s="111">
        <f t="shared" si="111"/>
        <v>0.4096666667</v>
      </c>
      <c r="ED25" s="266">
        <f t="shared" si="111"/>
        <v>0.1171666667</v>
      </c>
      <c r="EE25" s="253">
        <f t="shared" ref="EE25:EG25" si="112">IFERROR(AVERAGE(IFERROR(VALUE(AG25),""),IFERROR(VALUE(AJ25),""),IFERROR(VALUE(AM25),""),IFERROR(VALUE(AP25),""),IFERROR(VALUE(AS25),"")),"")</f>
        <v>0.3112</v>
      </c>
      <c r="EF25" s="35">
        <f t="shared" si="112"/>
        <v>0.6794</v>
      </c>
      <c r="EG25" s="57">
        <f t="shared" si="112"/>
        <v>0.6068</v>
      </c>
      <c r="EH25" s="237">
        <v>0.631</v>
      </c>
      <c r="EI25" s="113">
        <v>0.773</v>
      </c>
      <c r="EJ25" s="33">
        <f t="shared" si="91"/>
        <v>0.8510306748</v>
      </c>
      <c r="EK25" s="41">
        <f t="shared" si="92"/>
        <v>0.7568433081</v>
      </c>
      <c r="EL25" s="38">
        <f t="shared" si="93"/>
        <v>0.7635245399</v>
      </c>
      <c r="EM25" s="237">
        <f t="shared" si="94"/>
        <v>0.4662313438</v>
      </c>
      <c r="EN25" s="267">
        <f t="shared" si="95"/>
        <v>0.2303292837</v>
      </c>
      <c r="EO25" s="268">
        <v>0.914</v>
      </c>
      <c r="EP25" s="41">
        <f t="shared" ref="EP25:EQ25" si="113">IFERROR(AVERAGE(IFERROR(VALUE(CQ25),""),IFERROR(VALUE(CX25),""),IFERROR(VALUE(DE25),""),IFERROR(VALUE(DM25),"")),"")</f>
        <v>0.75175</v>
      </c>
      <c r="EQ25" s="35">
        <f t="shared" si="113"/>
        <v>0.89225</v>
      </c>
      <c r="ER25" s="269">
        <f t="shared" ref="ER25:ES25" si="114">IFERROR(AVERAGE(IFERROR(VALUE(CU25),""),IFERROR(VALUE(DB25),""),IFERROR(VALUE(DI25),""),IFERROR(VALUE(DO25),"")),"")</f>
        <v>0.40075</v>
      </c>
      <c r="ES25" s="270">
        <f t="shared" si="114"/>
        <v>0.2435</v>
      </c>
      <c r="ET25" s="271">
        <f t="shared" ref="ET25:EU25" si="115">IFERROR(AVERAGE(IFERROR(VALUE(CS25),""),IFERROR(VALUE(CZ25),""),IFERROR(VALUE(DG25),"")),"")</f>
        <v>0.5676666667</v>
      </c>
      <c r="EU25" s="272">
        <f t="shared" si="115"/>
        <v>0.1313333333</v>
      </c>
      <c r="EV25" s="51">
        <v>0.627</v>
      </c>
      <c r="EW25" s="51">
        <v>0.143</v>
      </c>
    </row>
    <row r="26">
      <c r="A26" s="52"/>
      <c r="B26" s="53" t="s">
        <v>598</v>
      </c>
      <c r="C26" s="25">
        <v>0.873</v>
      </c>
      <c r="D26" s="26" t="s">
        <v>77</v>
      </c>
      <c r="E26" s="26" t="s">
        <v>330</v>
      </c>
      <c r="F26" s="26" t="s">
        <v>587</v>
      </c>
      <c r="G26" s="26" t="s">
        <v>120</v>
      </c>
      <c r="H26" s="26">
        <v>0.326</v>
      </c>
      <c r="I26" s="26" t="s">
        <v>599</v>
      </c>
      <c r="J26" s="26" t="s">
        <v>459</v>
      </c>
      <c r="K26" s="26" t="s">
        <v>600</v>
      </c>
      <c r="L26" s="26" t="s">
        <v>266</v>
      </c>
      <c r="M26" s="26">
        <v>0.791</v>
      </c>
      <c r="N26" s="26" t="s">
        <v>176</v>
      </c>
      <c r="O26" s="26" t="s">
        <v>222</v>
      </c>
      <c r="P26" s="26" t="s">
        <v>601</v>
      </c>
      <c r="Q26" s="26" t="s">
        <v>602</v>
      </c>
      <c r="R26" s="26">
        <v>0.655</v>
      </c>
      <c r="S26" s="26" t="s">
        <v>282</v>
      </c>
      <c r="T26" s="26" t="s">
        <v>138</v>
      </c>
      <c r="U26" s="26" t="s">
        <v>603</v>
      </c>
      <c r="V26" s="26" t="s">
        <v>604</v>
      </c>
      <c r="W26" s="26">
        <v>0.755</v>
      </c>
      <c r="X26" s="26" t="s">
        <v>271</v>
      </c>
      <c r="Y26" s="26" t="s">
        <v>601</v>
      </c>
      <c r="Z26" s="26" t="s">
        <v>605</v>
      </c>
      <c r="AA26" s="26" t="s">
        <v>606</v>
      </c>
      <c r="AB26" s="26">
        <v>0.853</v>
      </c>
      <c r="AC26" s="26" t="s">
        <v>358</v>
      </c>
      <c r="AD26" s="26" t="s">
        <v>440</v>
      </c>
      <c r="AE26" s="26" t="s">
        <v>607</v>
      </c>
      <c r="AF26" s="27" t="s">
        <v>608</v>
      </c>
      <c r="AG26" s="26">
        <v>0.475</v>
      </c>
      <c r="AH26" s="26" t="s">
        <v>609</v>
      </c>
      <c r="AI26" s="26" t="s">
        <v>610</v>
      </c>
      <c r="AJ26" s="26">
        <v>0.103</v>
      </c>
      <c r="AK26" s="26" t="s">
        <v>186</v>
      </c>
      <c r="AL26" s="26" t="s">
        <v>611</v>
      </c>
      <c r="AM26" s="26">
        <v>0.569</v>
      </c>
      <c r="AN26" s="26" t="s">
        <v>427</v>
      </c>
      <c r="AO26" s="26" t="s">
        <v>289</v>
      </c>
      <c r="AP26" s="26">
        <v>0.155</v>
      </c>
      <c r="AQ26" s="26" t="s">
        <v>128</v>
      </c>
      <c r="AR26" s="26" t="s">
        <v>607</v>
      </c>
      <c r="AS26" s="26">
        <v>0.275</v>
      </c>
      <c r="AT26" s="26" t="s">
        <v>490</v>
      </c>
      <c r="AU26" s="26" t="s">
        <v>58</v>
      </c>
      <c r="AV26" s="28">
        <v>0.188</v>
      </c>
      <c r="AW26" s="26" t="s">
        <v>62</v>
      </c>
      <c r="AX26" s="26" t="s">
        <v>144</v>
      </c>
      <c r="AY26" s="29">
        <v>0.065</v>
      </c>
      <c r="AZ26" s="26" t="s">
        <v>94</v>
      </c>
      <c r="BA26" s="26" t="s">
        <v>145</v>
      </c>
      <c r="BB26" s="29">
        <v>0.113</v>
      </c>
      <c r="BC26" s="26" t="s">
        <v>146</v>
      </c>
      <c r="BD26" s="26" t="s">
        <v>147</v>
      </c>
      <c r="BE26" s="29">
        <v>0.303</v>
      </c>
      <c r="BF26" s="26" t="s">
        <v>148</v>
      </c>
      <c r="BG26" s="26" t="s">
        <v>128</v>
      </c>
      <c r="BH26" s="29">
        <v>0.185</v>
      </c>
      <c r="BI26" s="26" t="s">
        <v>149</v>
      </c>
      <c r="BJ26" s="26" t="s">
        <v>150</v>
      </c>
      <c r="BK26" s="29">
        <v>0.158</v>
      </c>
      <c r="BL26" s="30">
        <v>0.734</v>
      </c>
      <c r="BM26" s="30">
        <v>0.813</v>
      </c>
      <c r="BN26" s="29">
        <v>0.147</v>
      </c>
      <c r="BO26" s="30">
        <v>0.708</v>
      </c>
      <c r="BP26" s="30">
        <v>0.842</v>
      </c>
      <c r="BQ26" s="26"/>
      <c r="BR26" s="26"/>
      <c r="BS26" s="27"/>
      <c r="BT26" s="26">
        <v>0.792</v>
      </c>
      <c r="BU26" s="26" t="s">
        <v>214</v>
      </c>
      <c r="BV26" s="26" t="s">
        <v>335</v>
      </c>
      <c r="BW26" s="26" t="s">
        <v>612</v>
      </c>
      <c r="BX26" s="26" t="s">
        <v>387</v>
      </c>
      <c r="BY26" s="26">
        <v>0.815</v>
      </c>
      <c r="BZ26" s="26" t="s">
        <v>233</v>
      </c>
      <c r="CA26" s="26" t="s">
        <v>286</v>
      </c>
      <c r="CB26" s="26" t="s">
        <v>613</v>
      </c>
      <c r="CC26" s="26" t="s">
        <v>614</v>
      </c>
      <c r="CD26" s="26" t="s">
        <v>615</v>
      </c>
      <c r="CE26" s="26" t="s">
        <v>612</v>
      </c>
      <c r="CF26" s="26" t="s">
        <v>616</v>
      </c>
      <c r="CG26" s="26" t="s">
        <v>314</v>
      </c>
      <c r="CH26" s="4">
        <v>0.9836400818</v>
      </c>
      <c r="CI26" s="4">
        <v>0.977131647</v>
      </c>
      <c r="CJ26" s="4">
        <v>0.9905419223</v>
      </c>
      <c r="CK26" s="4">
        <v>0.846962331</v>
      </c>
      <c r="CL26" s="4">
        <v>0.6351495797</v>
      </c>
      <c r="CM26" s="144">
        <v>0.646</v>
      </c>
      <c r="CN26" s="144">
        <v>0.687</v>
      </c>
      <c r="CO26" s="144">
        <v>0.321</v>
      </c>
      <c r="CP26" s="144">
        <v>0.099</v>
      </c>
      <c r="CQ26" s="145">
        <v>0.651</v>
      </c>
      <c r="CR26" s="4">
        <v>0.905</v>
      </c>
      <c r="CS26" s="4">
        <v>0.547</v>
      </c>
      <c r="CT26" s="4">
        <v>0.133</v>
      </c>
      <c r="CU26" s="4">
        <v>0.28</v>
      </c>
      <c r="CV26" s="4">
        <v>0.091</v>
      </c>
      <c r="CW26" s="4">
        <v>0.2</v>
      </c>
      <c r="CX26" s="4">
        <v>0.929</v>
      </c>
      <c r="CY26" s="4">
        <v>0.958</v>
      </c>
      <c r="CZ26" s="4">
        <v>0.575</v>
      </c>
      <c r="DA26" s="4">
        <v>0.12</v>
      </c>
      <c r="DB26" s="4">
        <v>0.821</v>
      </c>
      <c r="DC26" s="4">
        <v>0.635</v>
      </c>
      <c r="DD26" s="4">
        <v>0.152</v>
      </c>
      <c r="DE26" s="4">
        <v>0.701</v>
      </c>
      <c r="DF26" s="4">
        <v>0.85</v>
      </c>
      <c r="DG26" s="4">
        <v>0.487</v>
      </c>
      <c r="DH26" s="4">
        <v>0.1</v>
      </c>
      <c r="DI26" s="4">
        <v>0.32</v>
      </c>
      <c r="DJ26" s="4">
        <v>0.18</v>
      </c>
      <c r="DK26" s="4">
        <v>0.109</v>
      </c>
      <c r="DL26" s="4">
        <v>0.929</v>
      </c>
      <c r="DM26" s="4" t="s">
        <v>247</v>
      </c>
      <c r="DN26" s="4" t="s">
        <v>360</v>
      </c>
      <c r="DO26" s="4" t="s">
        <v>617</v>
      </c>
      <c r="DP26" s="238" t="s">
        <v>618</v>
      </c>
      <c r="DQ26" s="352">
        <v>0.234</v>
      </c>
      <c r="DR26" s="352">
        <v>0.659</v>
      </c>
      <c r="DS26" s="352">
        <v>0.845</v>
      </c>
      <c r="DT26" s="352">
        <v>0.223</v>
      </c>
      <c r="DU26" s="352">
        <v>0.082</v>
      </c>
      <c r="DZ26" s="108">
        <f t="shared" ref="DZ26:ED26" si="116">IFERROR(AVERAGE(IFERROR(VALUE(C26),""),IFERROR(VALUE(H26),""),IFERROR(VALUE(M26),""),IFERROR(VALUE(R26),""),IFERROR(VALUE(W26),""),IFERROR(VALUE(AB26),"")),"")</f>
        <v>0.7088333333</v>
      </c>
      <c r="EA26" s="42">
        <f t="shared" si="116"/>
        <v>0.7036666667</v>
      </c>
      <c r="EB26" s="273">
        <f t="shared" si="116"/>
        <v>0.5566666667</v>
      </c>
      <c r="EC26" s="274">
        <f t="shared" si="116"/>
        <v>0.4478333333</v>
      </c>
      <c r="ED26" s="275">
        <f t="shared" si="116"/>
        <v>0.1641666667</v>
      </c>
      <c r="EE26" s="73">
        <f t="shared" ref="EE26:EG26" si="117">IFERROR(AVERAGE(IFERROR(VALUE(AG26),""),IFERROR(VALUE(AJ26),""),IFERROR(VALUE(AM26),""),IFERROR(VALUE(AP26),""),IFERROR(VALUE(AS26),"")),"")</f>
        <v>0.3154</v>
      </c>
      <c r="EF26" s="276">
        <f t="shared" si="117"/>
        <v>0.6938</v>
      </c>
      <c r="EG26" s="277">
        <f t="shared" si="117"/>
        <v>0.6584</v>
      </c>
      <c r="EH26" s="278">
        <v>0.677</v>
      </c>
      <c r="EI26" s="279">
        <v>0.81</v>
      </c>
      <c r="EJ26" s="280">
        <f t="shared" si="91"/>
        <v>0.8635466939</v>
      </c>
      <c r="EK26" s="92">
        <f t="shared" si="92"/>
        <v>0.7880329118</v>
      </c>
      <c r="EL26" s="170">
        <f t="shared" si="93"/>
        <v>0.7718854806</v>
      </c>
      <c r="EM26" s="55">
        <f t="shared" si="94"/>
        <v>0.5124905828</v>
      </c>
      <c r="EN26" s="281">
        <f t="shared" si="95"/>
        <v>0.2997873949</v>
      </c>
      <c r="EO26" s="33">
        <v>0.929</v>
      </c>
      <c r="EP26" s="34">
        <f t="shared" ref="EP26:EQ26" si="118">IFERROR(AVERAGE(IFERROR(VALUE(CQ26),""),IFERROR(VALUE(CX26),""),IFERROR(VALUE(DE26),""),IFERROR(VALUE(DM26),"")),"")</f>
        <v>0.77925</v>
      </c>
      <c r="EQ26" s="282">
        <f t="shared" si="118"/>
        <v>0.9185</v>
      </c>
      <c r="ER26" s="42">
        <f t="shared" ref="ER26:ES26" si="119">IFERROR(AVERAGE(IFERROR(VALUE(CU26),""),IFERROR(VALUE(DB26),""),IFERROR(VALUE(DI26),""),IFERROR(VALUE(DO26),"")),"")</f>
        <v>0.4875</v>
      </c>
      <c r="ES26" s="283">
        <f t="shared" si="119"/>
        <v>0.33825</v>
      </c>
      <c r="ET26" s="284">
        <f t="shared" ref="ET26:EU26" si="120">IFERROR(AVERAGE(IFERROR(VALUE(CS26),""),IFERROR(VALUE(CZ26),""),IFERROR(VALUE(DG26),"")),"")</f>
        <v>0.5363333333</v>
      </c>
      <c r="EU26" s="285">
        <f t="shared" si="120"/>
        <v>0.1176666667</v>
      </c>
      <c r="EV26" s="51">
        <v>0.611</v>
      </c>
      <c r="EW26" s="51">
        <v>0.166</v>
      </c>
    </row>
    <row r="27">
      <c r="A27" s="52"/>
      <c r="B27" s="53" t="s">
        <v>725</v>
      </c>
      <c r="C27" s="25">
        <v>0.935</v>
      </c>
      <c r="D27" s="26" t="s">
        <v>620</v>
      </c>
      <c r="E27" s="26" t="s">
        <v>621</v>
      </c>
      <c r="F27" s="26" t="s">
        <v>441</v>
      </c>
      <c r="G27" s="26" t="s">
        <v>544</v>
      </c>
      <c r="H27" s="26">
        <v>0.798</v>
      </c>
      <c r="I27" s="26" t="s">
        <v>302</v>
      </c>
      <c r="J27" s="26" t="s">
        <v>591</v>
      </c>
      <c r="K27" s="26" t="s">
        <v>622</v>
      </c>
      <c r="L27" s="26" t="s">
        <v>623</v>
      </c>
      <c r="M27" s="26">
        <v>0.775</v>
      </c>
      <c r="N27" s="26" t="s">
        <v>62</v>
      </c>
      <c r="O27" s="26" t="s">
        <v>624</v>
      </c>
      <c r="P27" s="26" t="s">
        <v>625</v>
      </c>
      <c r="Q27" s="26" t="s">
        <v>626</v>
      </c>
      <c r="R27" s="26">
        <v>0.696</v>
      </c>
      <c r="S27" s="26" t="s">
        <v>627</v>
      </c>
      <c r="T27" s="26" t="s">
        <v>628</v>
      </c>
      <c r="U27" s="26" t="s">
        <v>629</v>
      </c>
      <c r="V27" s="26" t="s">
        <v>480</v>
      </c>
      <c r="W27" s="26">
        <v>0.942</v>
      </c>
      <c r="X27" s="26" t="s">
        <v>524</v>
      </c>
      <c r="Y27" s="26" t="s">
        <v>439</v>
      </c>
      <c r="Z27" s="26" t="s">
        <v>364</v>
      </c>
      <c r="AA27" s="26" t="s">
        <v>561</v>
      </c>
      <c r="AB27" s="26">
        <v>0.897</v>
      </c>
      <c r="AC27" s="26" t="s">
        <v>630</v>
      </c>
      <c r="AD27" s="26" t="s">
        <v>254</v>
      </c>
      <c r="AE27" s="26" t="s">
        <v>631</v>
      </c>
      <c r="AF27" s="27" t="s">
        <v>100</v>
      </c>
      <c r="AG27" s="26">
        <v>0.555</v>
      </c>
      <c r="AH27" s="26" t="s">
        <v>200</v>
      </c>
      <c r="AI27" s="26" t="s">
        <v>632</v>
      </c>
      <c r="AJ27" s="26">
        <v>0.109</v>
      </c>
      <c r="AK27" s="26" t="s">
        <v>556</v>
      </c>
      <c r="AL27" s="26" t="s">
        <v>633</v>
      </c>
      <c r="AM27" s="26">
        <v>0.536</v>
      </c>
      <c r="AN27" s="26" t="s">
        <v>159</v>
      </c>
      <c r="AO27" s="26" t="s">
        <v>634</v>
      </c>
      <c r="AP27" s="26">
        <v>0.303</v>
      </c>
      <c r="AQ27" s="26" t="s">
        <v>262</v>
      </c>
      <c r="AR27" s="26" t="s">
        <v>208</v>
      </c>
      <c r="AS27" s="26">
        <v>0.448</v>
      </c>
      <c r="AT27" s="26" t="s">
        <v>141</v>
      </c>
      <c r="AU27" s="26" t="s">
        <v>361</v>
      </c>
      <c r="AV27" s="28">
        <v>0.304</v>
      </c>
      <c r="AW27" s="26" t="s">
        <v>154</v>
      </c>
      <c r="AX27" s="26" t="s">
        <v>635</v>
      </c>
      <c r="AY27" s="29">
        <v>0.15</v>
      </c>
      <c r="AZ27" s="26" t="s">
        <v>569</v>
      </c>
      <c r="BA27" s="26" t="s">
        <v>91</v>
      </c>
      <c r="BB27" s="29">
        <v>0.279</v>
      </c>
      <c r="BC27" s="26" t="s">
        <v>247</v>
      </c>
      <c r="BD27" s="26" t="s">
        <v>366</v>
      </c>
      <c r="BE27" s="29">
        <v>0.496</v>
      </c>
      <c r="BF27" s="26" t="s">
        <v>513</v>
      </c>
      <c r="BG27" s="26" t="s">
        <v>636</v>
      </c>
      <c r="BH27" s="29">
        <v>0.349</v>
      </c>
      <c r="BI27" s="26" t="s">
        <v>137</v>
      </c>
      <c r="BJ27" s="26" t="s">
        <v>370</v>
      </c>
      <c r="BK27" s="29">
        <v>0.213</v>
      </c>
      <c r="BL27" s="30">
        <v>0.781</v>
      </c>
      <c r="BM27" s="30">
        <v>0.855</v>
      </c>
      <c r="BN27" s="29">
        <v>0.226</v>
      </c>
      <c r="BO27" s="30">
        <v>0.766</v>
      </c>
      <c r="BP27" s="30">
        <v>0.857</v>
      </c>
      <c r="BQ27" s="26"/>
      <c r="BR27" s="26"/>
      <c r="BS27" s="27"/>
      <c r="BT27" s="26">
        <v>0.839</v>
      </c>
      <c r="BU27" s="26" t="s">
        <v>205</v>
      </c>
      <c r="BV27" s="26" t="s">
        <v>401</v>
      </c>
      <c r="BW27" s="26" t="s">
        <v>159</v>
      </c>
      <c r="BX27" s="26" t="s">
        <v>72</v>
      </c>
      <c r="BY27" s="26">
        <v>0.892</v>
      </c>
      <c r="BZ27" s="26" t="s">
        <v>637</v>
      </c>
      <c r="CA27" s="26" t="s">
        <v>382</v>
      </c>
      <c r="CB27" s="26" t="s">
        <v>638</v>
      </c>
      <c r="CC27" s="26" t="s">
        <v>639</v>
      </c>
      <c r="CD27" s="26" t="s">
        <v>301</v>
      </c>
      <c r="CE27" s="26" t="s">
        <v>436</v>
      </c>
      <c r="CF27" s="26" t="s">
        <v>193</v>
      </c>
      <c r="CG27" s="26" t="s">
        <v>640</v>
      </c>
      <c r="CH27" s="4">
        <v>0.9539877301</v>
      </c>
      <c r="CI27" s="4">
        <v>0.8795869244</v>
      </c>
      <c r="CJ27" s="4">
        <v>0.9289366053</v>
      </c>
      <c r="CK27" s="4">
        <v>0.6753032505</v>
      </c>
      <c r="CL27" s="4">
        <v>0.3941974477</v>
      </c>
      <c r="CM27" s="144">
        <v>0.735</v>
      </c>
      <c r="CN27" s="402">
        <v>0.783</v>
      </c>
      <c r="CO27" s="144">
        <v>0.448</v>
      </c>
      <c r="CP27" s="402">
        <v>0.181</v>
      </c>
      <c r="CQ27" s="145">
        <v>0.802</v>
      </c>
      <c r="CR27" s="4">
        <v>0.955</v>
      </c>
      <c r="CS27" s="4">
        <v>0.558</v>
      </c>
      <c r="CT27" s="4">
        <v>0.145</v>
      </c>
      <c r="CU27" s="4">
        <v>0.675</v>
      </c>
      <c r="CV27" s="4">
        <v>0.444</v>
      </c>
      <c r="CW27" s="4">
        <v>0.235</v>
      </c>
      <c r="CX27" s="4">
        <v>0.954</v>
      </c>
      <c r="CY27" s="4">
        <v>0.988</v>
      </c>
      <c r="CZ27" s="4">
        <v>0.722</v>
      </c>
      <c r="DA27" s="4">
        <v>0.375</v>
      </c>
      <c r="DB27" s="4">
        <v>0.922</v>
      </c>
      <c r="DC27" s="4">
        <v>0.838</v>
      </c>
      <c r="DD27" s="4">
        <v>0.339</v>
      </c>
      <c r="DE27" s="4">
        <v>0.634</v>
      </c>
      <c r="DF27" s="4">
        <v>0.815</v>
      </c>
      <c r="DG27" s="4">
        <v>0.57</v>
      </c>
      <c r="DH27" s="4">
        <v>0.434</v>
      </c>
      <c r="DI27" s="4">
        <v>0.23</v>
      </c>
      <c r="DJ27" s="4">
        <v>0.082</v>
      </c>
      <c r="DK27" s="4">
        <v>0.39</v>
      </c>
      <c r="DL27" s="4">
        <v>0.972</v>
      </c>
      <c r="DM27" s="4" t="s">
        <v>641</v>
      </c>
      <c r="DN27" s="4" t="s">
        <v>163</v>
      </c>
      <c r="DO27" s="4" t="s">
        <v>642</v>
      </c>
      <c r="DP27" s="238" t="s">
        <v>70</v>
      </c>
      <c r="DQ27" s="352">
        <v>0.515</v>
      </c>
      <c r="DR27" s="352">
        <v>0.673</v>
      </c>
      <c r="DS27" s="352">
        <v>0.835</v>
      </c>
      <c r="DT27" s="352">
        <v>0.257</v>
      </c>
      <c r="DU27" s="352">
        <v>0.111</v>
      </c>
      <c r="DZ27" s="286">
        <f t="shared" ref="DZ27:ED27" si="121">IFERROR(AVERAGE(IFERROR(VALUE(C27),""),IFERROR(VALUE(H27),""),IFERROR(VALUE(M27),""),IFERROR(VALUE(R27),""),IFERROR(VALUE(W27),""),IFERROR(VALUE(AB27),"")),"")</f>
        <v>0.8405</v>
      </c>
      <c r="EA27" s="287">
        <f t="shared" si="121"/>
        <v>0.811</v>
      </c>
      <c r="EB27" s="288">
        <f t="shared" si="121"/>
        <v>0.738</v>
      </c>
      <c r="EC27" s="289">
        <f t="shared" si="121"/>
        <v>0.5943333333</v>
      </c>
      <c r="ED27" s="290">
        <f t="shared" si="121"/>
        <v>0.3426666667</v>
      </c>
      <c r="EE27" s="291">
        <f t="shared" ref="EE27:EG27" si="122">IFERROR(AVERAGE(IFERROR(VALUE(AG27),""),IFERROR(VALUE(AJ27),""),IFERROR(VALUE(AM27),""),IFERROR(VALUE(AP27),""),IFERROR(VALUE(AS27),"")),"")</f>
        <v>0.3902</v>
      </c>
      <c r="EF27" s="271">
        <f t="shared" si="122"/>
        <v>0.7194</v>
      </c>
      <c r="EG27" s="292">
        <f t="shared" si="122"/>
        <v>0.6318</v>
      </c>
      <c r="EH27" s="68">
        <v>0.726</v>
      </c>
      <c r="EI27" s="37">
        <v>0.849</v>
      </c>
      <c r="EJ27" s="293">
        <f t="shared" si="91"/>
        <v>0.89499591</v>
      </c>
      <c r="EK27" s="294">
        <f t="shared" si="92"/>
        <v>0.7886467311</v>
      </c>
      <c r="EL27" s="295">
        <f t="shared" si="93"/>
        <v>0.7922341513</v>
      </c>
      <c r="EM27" s="296">
        <f t="shared" si="94"/>
        <v>0.5160758126</v>
      </c>
      <c r="EN27" s="57">
        <f t="shared" si="95"/>
        <v>0.2737993619</v>
      </c>
      <c r="EO27" s="297">
        <v>0.972</v>
      </c>
      <c r="EP27" s="254">
        <f t="shared" ref="EP27:EQ27" si="123">IFERROR(AVERAGE(IFERROR(VALUE(CQ27),""),IFERROR(VALUE(CX27),""),IFERROR(VALUE(DE27),""),IFERROR(VALUE(DM27),"")),"")</f>
        <v>0.81575</v>
      </c>
      <c r="EQ27" s="229">
        <f t="shared" si="123"/>
        <v>0.92225</v>
      </c>
      <c r="ER27" s="298">
        <f t="shared" ref="ER27:ES27" si="124">IFERROR(AVERAGE(IFERROR(VALUE(CU27),""),IFERROR(VALUE(DB27),""),IFERROR(VALUE(DI27),""),IFERROR(VALUE(DO27),"")),"")</f>
        <v>0.62875</v>
      </c>
      <c r="ES27" s="299">
        <f t="shared" si="124"/>
        <v>0.50275</v>
      </c>
      <c r="ET27" s="231">
        <f t="shared" ref="ET27:EU27" si="125">IFERROR(AVERAGE(IFERROR(VALUE(CS27),""),IFERROR(VALUE(CZ27),""),IFERROR(VALUE(DG27),"")),"")</f>
        <v>0.6166666667</v>
      </c>
      <c r="EU27" s="300">
        <f t="shared" si="125"/>
        <v>0.318</v>
      </c>
      <c r="EV27" s="51">
        <v>0.682</v>
      </c>
      <c r="EW27" s="51">
        <v>0.288</v>
      </c>
    </row>
    <row r="28">
      <c r="A28" s="52"/>
      <c r="B28" s="53" t="s">
        <v>726</v>
      </c>
      <c r="C28" s="25">
        <v>0.914</v>
      </c>
      <c r="D28" s="26" t="s">
        <v>644</v>
      </c>
      <c r="E28" s="26" t="s">
        <v>645</v>
      </c>
      <c r="F28" s="26" t="s">
        <v>646</v>
      </c>
      <c r="G28" s="26" t="s">
        <v>404</v>
      </c>
      <c r="H28" s="26">
        <v>0.789</v>
      </c>
      <c r="I28" s="26" t="s">
        <v>163</v>
      </c>
      <c r="J28" s="26" t="s">
        <v>231</v>
      </c>
      <c r="K28" s="26" t="s">
        <v>204</v>
      </c>
      <c r="L28" s="26" t="s">
        <v>498</v>
      </c>
      <c r="M28" s="26">
        <v>0.789</v>
      </c>
      <c r="N28" s="26" t="s">
        <v>123</v>
      </c>
      <c r="O28" s="26" t="s">
        <v>647</v>
      </c>
      <c r="P28" s="26" t="s">
        <v>351</v>
      </c>
      <c r="Q28" s="26" t="s">
        <v>217</v>
      </c>
      <c r="R28" s="26">
        <v>0.681</v>
      </c>
      <c r="S28" s="26" t="s">
        <v>88</v>
      </c>
      <c r="T28" s="26" t="s">
        <v>648</v>
      </c>
      <c r="U28" s="26" t="s">
        <v>157</v>
      </c>
      <c r="V28" s="26" t="s">
        <v>649</v>
      </c>
      <c r="W28" s="26">
        <v>0.906</v>
      </c>
      <c r="X28" s="26" t="s">
        <v>524</v>
      </c>
      <c r="Y28" s="26" t="s">
        <v>483</v>
      </c>
      <c r="Z28" s="26" t="s">
        <v>364</v>
      </c>
      <c r="AA28" s="26" t="s">
        <v>597</v>
      </c>
      <c r="AB28" s="26">
        <v>0.912</v>
      </c>
      <c r="AC28" s="26" t="s">
        <v>215</v>
      </c>
      <c r="AD28" s="26" t="s">
        <v>650</v>
      </c>
      <c r="AE28" s="26" t="s">
        <v>495</v>
      </c>
      <c r="AF28" s="27" t="s">
        <v>260</v>
      </c>
      <c r="AG28" s="26">
        <v>0.566</v>
      </c>
      <c r="AH28" s="26" t="s">
        <v>651</v>
      </c>
      <c r="AI28" s="26" t="s">
        <v>652</v>
      </c>
      <c r="AJ28" s="26">
        <v>0.118</v>
      </c>
      <c r="AK28" s="26" t="s">
        <v>479</v>
      </c>
      <c r="AL28" s="26" t="s">
        <v>653</v>
      </c>
      <c r="AM28" s="26">
        <v>0.527</v>
      </c>
      <c r="AN28" s="26" t="s">
        <v>564</v>
      </c>
      <c r="AO28" s="26" t="s">
        <v>255</v>
      </c>
      <c r="AP28" s="26">
        <v>0.366</v>
      </c>
      <c r="AQ28" s="26" t="s">
        <v>637</v>
      </c>
      <c r="AR28" s="26" t="s">
        <v>233</v>
      </c>
      <c r="AS28" s="26">
        <v>0.465</v>
      </c>
      <c r="AT28" s="26" t="s">
        <v>654</v>
      </c>
      <c r="AU28" s="26" t="s">
        <v>324</v>
      </c>
      <c r="AV28" s="28">
        <v>0.322</v>
      </c>
      <c r="AW28" s="26" t="s">
        <v>135</v>
      </c>
      <c r="AX28" s="26" t="s">
        <v>635</v>
      </c>
      <c r="AY28" s="29">
        <v>0.152</v>
      </c>
      <c r="AZ28" s="26" t="s">
        <v>282</v>
      </c>
      <c r="BA28" s="26" t="s">
        <v>492</v>
      </c>
      <c r="BB28" s="29">
        <v>0.257</v>
      </c>
      <c r="BC28" s="26" t="s">
        <v>391</v>
      </c>
      <c r="BD28" s="26" t="s">
        <v>140</v>
      </c>
      <c r="BE28" s="29">
        <v>0.493</v>
      </c>
      <c r="BF28" s="26" t="s">
        <v>513</v>
      </c>
      <c r="BG28" s="26" t="s">
        <v>396</v>
      </c>
      <c r="BH28" s="29">
        <v>0.404</v>
      </c>
      <c r="BI28" s="26" t="s">
        <v>164</v>
      </c>
      <c r="BJ28" s="26" t="s">
        <v>594</v>
      </c>
      <c r="BK28" s="29">
        <v>0.221</v>
      </c>
      <c r="BL28" s="30">
        <v>0.796</v>
      </c>
      <c r="BM28" s="30">
        <v>0.858</v>
      </c>
      <c r="BN28" s="29">
        <v>0.211</v>
      </c>
      <c r="BO28" s="29">
        <v>0.786</v>
      </c>
      <c r="BP28" s="29">
        <v>0.856</v>
      </c>
      <c r="BQ28" s="26"/>
      <c r="BR28" s="26"/>
      <c r="BS28" s="27"/>
      <c r="BT28" s="26">
        <v>0.834</v>
      </c>
      <c r="BU28" s="26" t="s">
        <v>162</v>
      </c>
      <c r="BV28" s="26" t="s">
        <v>242</v>
      </c>
      <c r="BW28" s="26" t="s">
        <v>548</v>
      </c>
      <c r="BX28" s="26" t="s">
        <v>623</v>
      </c>
      <c r="BY28" s="26">
        <v>0.894</v>
      </c>
      <c r="BZ28" s="26" t="s">
        <v>123</v>
      </c>
      <c r="CA28" s="26" t="s">
        <v>409</v>
      </c>
      <c r="CB28" s="26" t="s">
        <v>596</v>
      </c>
      <c r="CC28" s="26" t="s">
        <v>655</v>
      </c>
      <c r="CD28" s="26" t="s">
        <v>246</v>
      </c>
      <c r="CE28" s="26" t="s">
        <v>656</v>
      </c>
      <c r="CF28" s="26" t="s">
        <v>657</v>
      </c>
      <c r="CG28" s="26" t="s">
        <v>653</v>
      </c>
      <c r="CH28" s="4">
        <v>0.9440184049</v>
      </c>
      <c r="CI28" s="4">
        <v>0.8966524559</v>
      </c>
      <c r="CJ28" s="4">
        <v>0.9148773006</v>
      </c>
      <c r="CK28" s="4">
        <v>0.6807560083</v>
      </c>
      <c r="CL28" s="4">
        <v>0.3672806771</v>
      </c>
      <c r="CM28" s="144">
        <v>0.746</v>
      </c>
      <c r="CN28" s="144">
        <v>0.78</v>
      </c>
      <c r="CO28" s="402">
        <v>0.457</v>
      </c>
      <c r="CP28" s="144">
        <v>0.167</v>
      </c>
      <c r="CQ28" s="145">
        <v>0.811</v>
      </c>
      <c r="CR28" s="4">
        <v>0.93</v>
      </c>
      <c r="CS28" s="4">
        <v>0.574</v>
      </c>
      <c r="CT28" s="4">
        <v>0.191</v>
      </c>
      <c r="CU28" s="4">
        <v>0.701</v>
      </c>
      <c r="CV28" s="4">
        <v>0.505</v>
      </c>
      <c r="CW28" s="4">
        <v>0.225</v>
      </c>
      <c r="CX28" s="4">
        <v>0.954</v>
      </c>
      <c r="CY28" s="4">
        <v>0.995</v>
      </c>
      <c r="CZ28" s="4">
        <v>0.755</v>
      </c>
      <c r="DA28" s="4">
        <v>0.361</v>
      </c>
      <c r="DB28" s="4">
        <v>0.892</v>
      </c>
      <c r="DC28" s="4">
        <v>0.759</v>
      </c>
      <c r="DD28" s="4">
        <v>0.413</v>
      </c>
      <c r="DE28" s="4">
        <v>0.632</v>
      </c>
      <c r="DF28" s="4">
        <v>0.815</v>
      </c>
      <c r="DG28" s="4">
        <v>0.58</v>
      </c>
      <c r="DH28" s="4">
        <v>0.459</v>
      </c>
      <c r="DI28" s="4">
        <v>0.213</v>
      </c>
      <c r="DJ28" s="4">
        <v>0.076</v>
      </c>
      <c r="DK28" s="4">
        <v>0.428</v>
      </c>
      <c r="DL28" s="4">
        <v>0.977</v>
      </c>
      <c r="DM28" s="4" t="s">
        <v>286</v>
      </c>
      <c r="DN28" s="4" t="s">
        <v>134</v>
      </c>
      <c r="DO28" s="4" t="s">
        <v>350</v>
      </c>
      <c r="DP28" s="238" t="s">
        <v>658</v>
      </c>
      <c r="DQ28" s="352">
        <v>0.568</v>
      </c>
      <c r="DR28" s="352">
        <v>0.664</v>
      </c>
      <c r="DS28" s="352">
        <v>0.832</v>
      </c>
      <c r="DT28" s="352">
        <v>0.287</v>
      </c>
      <c r="DU28" s="352">
        <v>0.13</v>
      </c>
      <c r="DZ28" s="301">
        <f t="shared" ref="DZ28:ED28" si="126">IFERROR(AVERAGE(IFERROR(VALUE(C28),""),IFERROR(VALUE(H28),""),IFERROR(VALUE(M28),""),IFERROR(VALUE(R28),""),IFERROR(VALUE(W28),""),IFERROR(VALUE(AB28),"")),"")</f>
        <v>0.8318333333</v>
      </c>
      <c r="EA28" s="138">
        <f t="shared" si="126"/>
        <v>0.813</v>
      </c>
      <c r="EB28" s="138">
        <f t="shared" si="126"/>
        <v>0.7463333333</v>
      </c>
      <c r="EC28" s="302">
        <f t="shared" si="126"/>
        <v>0.6038333333</v>
      </c>
      <c r="ED28" s="303">
        <f t="shared" si="126"/>
        <v>0.3673333333</v>
      </c>
      <c r="EE28" s="65">
        <f t="shared" ref="EE28:EG28" si="127">IFERROR(AVERAGE(IFERROR(VALUE(AG28),""),IFERROR(VALUE(AJ28),""),IFERROR(VALUE(AM28),""),IFERROR(VALUE(AP28),""),IFERROR(VALUE(AS28),"")),"")</f>
        <v>0.4084</v>
      </c>
      <c r="EF28" s="138">
        <f t="shared" si="127"/>
        <v>0.7258</v>
      </c>
      <c r="EG28" s="304">
        <f t="shared" si="127"/>
        <v>0.6396</v>
      </c>
      <c r="EH28" s="138">
        <v>0.732</v>
      </c>
      <c r="EI28" s="305">
        <v>0.845</v>
      </c>
      <c r="EJ28" s="91">
        <f t="shared" si="91"/>
        <v>0.8906728016</v>
      </c>
      <c r="EK28" s="306">
        <f t="shared" si="92"/>
        <v>0.798163114</v>
      </c>
      <c r="EL28" s="45">
        <f t="shared" si="93"/>
        <v>0.7862193252</v>
      </c>
      <c r="EM28" s="124">
        <f t="shared" si="94"/>
        <v>0.5294390021</v>
      </c>
      <c r="EN28" s="113">
        <f t="shared" si="95"/>
        <v>0.2685701693</v>
      </c>
      <c r="EO28" s="307">
        <v>0.977</v>
      </c>
      <c r="EP28" s="308">
        <f t="shared" ref="EP28:EQ28" si="128">IFERROR(AVERAGE(IFERROR(VALUE(CQ28),""),IFERROR(VALUE(CX28),""),IFERROR(VALUE(DE28),""),IFERROR(VALUE(DM28),"")),"")</f>
        <v>0.81175</v>
      </c>
      <c r="EQ28" s="309">
        <f t="shared" si="128"/>
        <v>0.9195</v>
      </c>
      <c r="ER28" s="105">
        <f t="shared" ref="ER28:ES28" si="129">IFERROR(AVERAGE(IFERROR(VALUE(CU28),""),IFERROR(VALUE(DB28),""),IFERROR(VALUE(DI28),""),IFERROR(VALUE(DO28),"")),"")</f>
        <v>0.61675</v>
      </c>
      <c r="ES28" s="310">
        <f t="shared" si="129"/>
        <v>0.48475</v>
      </c>
      <c r="ET28" s="179">
        <f t="shared" ref="ET28:EU28" si="130">IFERROR(AVERAGE(IFERROR(VALUE(CS28),""),IFERROR(VALUE(CZ28),""),IFERROR(VALUE(DG28),"")),"")</f>
        <v>0.6363333333</v>
      </c>
      <c r="EU28" s="311">
        <f t="shared" si="130"/>
        <v>0.337</v>
      </c>
      <c r="EV28" s="51">
        <v>0.69</v>
      </c>
      <c r="EW28" s="51">
        <v>0.294</v>
      </c>
    </row>
    <row r="29">
      <c r="A29" s="52"/>
      <c r="B29" s="53" t="s">
        <v>727</v>
      </c>
      <c r="C29" s="25">
        <v>0.903</v>
      </c>
      <c r="D29" s="26" t="s">
        <v>75</v>
      </c>
      <c r="E29" s="26" t="s">
        <v>290</v>
      </c>
      <c r="F29" s="26" t="s">
        <v>301</v>
      </c>
      <c r="G29" s="26" t="s">
        <v>128</v>
      </c>
      <c r="H29" s="26">
        <v>0.818</v>
      </c>
      <c r="I29" s="26" t="s">
        <v>660</v>
      </c>
      <c r="J29" s="26" t="s">
        <v>219</v>
      </c>
      <c r="K29" s="26" t="s">
        <v>661</v>
      </c>
      <c r="L29" s="26" t="s">
        <v>319</v>
      </c>
      <c r="M29" s="26">
        <v>0.754</v>
      </c>
      <c r="N29" s="26" t="s">
        <v>368</v>
      </c>
      <c r="O29" s="26" t="s">
        <v>84</v>
      </c>
      <c r="P29" s="26" t="s">
        <v>662</v>
      </c>
      <c r="Q29" s="26" t="s">
        <v>157</v>
      </c>
      <c r="R29" s="26">
        <v>0.657</v>
      </c>
      <c r="S29" s="26" t="s">
        <v>284</v>
      </c>
      <c r="T29" s="26" t="s">
        <v>618</v>
      </c>
      <c r="U29" s="26" t="s">
        <v>663</v>
      </c>
      <c r="V29" s="26" t="s">
        <v>551</v>
      </c>
      <c r="W29" s="26">
        <v>0.871</v>
      </c>
      <c r="X29" s="26" t="s">
        <v>326</v>
      </c>
      <c r="Y29" s="26" t="s">
        <v>87</v>
      </c>
      <c r="Z29" s="26" t="s">
        <v>662</v>
      </c>
      <c r="AA29" s="26" t="s">
        <v>315</v>
      </c>
      <c r="AB29" s="26">
        <v>0.778</v>
      </c>
      <c r="AC29" s="26" t="s">
        <v>91</v>
      </c>
      <c r="AD29" s="26" t="s">
        <v>520</v>
      </c>
      <c r="AE29" s="26" t="s">
        <v>135</v>
      </c>
      <c r="AF29" s="27" t="s">
        <v>664</v>
      </c>
      <c r="AG29" s="26">
        <v>0.516</v>
      </c>
      <c r="AH29" s="26" t="s">
        <v>128</v>
      </c>
      <c r="AI29" s="26" t="s">
        <v>376</v>
      </c>
      <c r="AJ29" s="26">
        <v>0.099</v>
      </c>
      <c r="AK29" s="26" t="s">
        <v>330</v>
      </c>
      <c r="AL29" s="26" t="s">
        <v>592</v>
      </c>
      <c r="AM29" s="26">
        <v>0.546</v>
      </c>
      <c r="AN29" s="26" t="s">
        <v>582</v>
      </c>
      <c r="AO29" s="26" t="s">
        <v>546</v>
      </c>
      <c r="AP29" s="26">
        <v>0.19</v>
      </c>
      <c r="AQ29" s="26" t="s">
        <v>560</v>
      </c>
      <c r="AR29" s="26" t="s">
        <v>665</v>
      </c>
      <c r="AS29" s="26">
        <v>0.415</v>
      </c>
      <c r="AT29" s="26" t="s">
        <v>500</v>
      </c>
      <c r="AU29" s="26" t="s">
        <v>222</v>
      </c>
      <c r="AV29" s="28">
        <v>0.274</v>
      </c>
      <c r="AW29" s="26" t="s">
        <v>666</v>
      </c>
      <c r="AX29" s="26" t="s">
        <v>667</v>
      </c>
      <c r="AY29" s="29">
        <v>0.143</v>
      </c>
      <c r="AZ29" s="26" t="s">
        <v>656</v>
      </c>
      <c r="BA29" s="26" t="s">
        <v>668</v>
      </c>
      <c r="BB29" s="29">
        <v>0.224</v>
      </c>
      <c r="BC29" s="26" t="s">
        <v>132</v>
      </c>
      <c r="BD29" s="26" t="s">
        <v>236</v>
      </c>
      <c r="BE29" s="29">
        <v>0.436</v>
      </c>
      <c r="BF29" s="26" t="s">
        <v>80</v>
      </c>
      <c r="BG29" s="26" t="s">
        <v>455</v>
      </c>
      <c r="BH29" s="29">
        <v>0.283</v>
      </c>
      <c r="BI29" s="26" t="s">
        <v>95</v>
      </c>
      <c r="BJ29" s="26" t="s">
        <v>335</v>
      </c>
      <c r="BK29" s="29">
        <v>0.191</v>
      </c>
      <c r="BL29" s="29">
        <v>0.748</v>
      </c>
      <c r="BM29" s="29">
        <v>0.84</v>
      </c>
      <c r="BN29" s="29">
        <v>0.19</v>
      </c>
      <c r="BO29" s="29">
        <v>0.76</v>
      </c>
      <c r="BP29" s="29">
        <v>0.841</v>
      </c>
      <c r="BQ29" s="26"/>
      <c r="BR29" s="26"/>
      <c r="BS29" s="27"/>
      <c r="BT29" s="26">
        <v>0.923</v>
      </c>
      <c r="BU29" s="26" t="s">
        <v>615</v>
      </c>
      <c r="BV29" s="26" t="s">
        <v>594</v>
      </c>
      <c r="BW29" s="26" t="s">
        <v>386</v>
      </c>
      <c r="BX29" s="26" t="s">
        <v>496</v>
      </c>
      <c r="BY29" s="26">
        <v>0.943</v>
      </c>
      <c r="BZ29" s="26" t="s">
        <v>143</v>
      </c>
      <c r="CA29" s="26" t="s">
        <v>669</v>
      </c>
      <c r="CB29" s="26" t="s">
        <v>498</v>
      </c>
      <c r="CC29" s="26" t="s">
        <v>670</v>
      </c>
      <c r="CD29" s="26" t="s">
        <v>476</v>
      </c>
      <c r="CE29" s="26" t="s">
        <v>287</v>
      </c>
      <c r="CF29" s="26" t="s">
        <v>152</v>
      </c>
      <c r="CG29" s="26" t="s">
        <v>188</v>
      </c>
      <c r="CH29" s="4">
        <v>0.995398773</v>
      </c>
      <c r="CI29" s="4">
        <v>0.9890234858</v>
      </c>
      <c r="CJ29" s="4">
        <v>0.9961656442</v>
      </c>
      <c r="CK29" s="4">
        <v>0.9370619597</v>
      </c>
      <c r="CL29" s="4">
        <v>0.8036468401</v>
      </c>
      <c r="CM29" s="144">
        <v>0.716</v>
      </c>
      <c r="CN29" s="144">
        <v>0.727</v>
      </c>
      <c r="CO29" s="144">
        <v>0.402</v>
      </c>
      <c r="CP29" s="144">
        <v>0.127</v>
      </c>
      <c r="CQ29" s="145">
        <v>0.812</v>
      </c>
      <c r="CR29" s="4">
        <v>0.97</v>
      </c>
      <c r="CS29" s="4">
        <v>0.532</v>
      </c>
      <c r="CT29" s="4">
        <v>0.105</v>
      </c>
      <c r="CU29" s="4">
        <v>0.683</v>
      </c>
      <c r="CV29" s="4">
        <v>0.481</v>
      </c>
      <c r="CW29" s="4">
        <v>0.245</v>
      </c>
      <c r="CX29" s="4">
        <v>0.902</v>
      </c>
      <c r="CY29" s="4">
        <v>0.973</v>
      </c>
      <c r="CZ29" s="4">
        <v>0.702</v>
      </c>
      <c r="DA29" s="4">
        <v>0.356</v>
      </c>
      <c r="DB29" s="4">
        <v>0.809</v>
      </c>
      <c r="DC29" s="4">
        <v>0.682</v>
      </c>
      <c r="DD29" s="4">
        <v>0.474</v>
      </c>
      <c r="DE29" s="4">
        <v>0.641</v>
      </c>
      <c r="DF29" s="4">
        <v>0.815</v>
      </c>
      <c r="DG29" s="4">
        <v>0.572</v>
      </c>
      <c r="DH29" s="4">
        <v>0.341</v>
      </c>
      <c r="DI29" s="4">
        <v>0.252</v>
      </c>
      <c r="DJ29" s="4">
        <v>0.102</v>
      </c>
      <c r="DK29" s="4">
        <v>0.281</v>
      </c>
      <c r="DL29" s="4">
        <v>0.98</v>
      </c>
      <c r="DM29" s="4" t="s">
        <v>671</v>
      </c>
      <c r="DN29" s="4" t="s">
        <v>672</v>
      </c>
      <c r="DO29" s="4" t="s">
        <v>268</v>
      </c>
      <c r="DP29" s="238" t="s">
        <v>535</v>
      </c>
      <c r="DQ29" s="352">
        <v>0.475</v>
      </c>
      <c r="DR29" s="352">
        <v>0.664</v>
      </c>
      <c r="DS29" s="352">
        <v>0.785</v>
      </c>
      <c r="DT29" s="352">
        <v>0.32</v>
      </c>
      <c r="DU29" s="352">
        <v>0.132</v>
      </c>
      <c r="DZ29" s="312">
        <f t="shared" ref="DZ29:ED29" si="131">IFERROR(AVERAGE(IFERROR(VALUE(C29),""),IFERROR(VALUE(H29),""),IFERROR(VALUE(M29),""),IFERROR(VALUE(R29),""),IFERROR(VALUE(W29),""),IFERROR(VALUE(AB29),"")),"")</f>
        <v>0.7968333333</v>
      </c>
      <c r="EA29" s="313">
        <f t="shared" si="131"/>
        <v>0.792</v>
      </c>
      <c r="EB29" s="314">
        <f t="shared" si="131"/>
        <v>0.7073333333</v>
      </c>
      <c r="EC29" s="315">
        <f t="shared" si="131"/>
        <v>0.5621666667</v>
      </c>
      <c r="ED29" s="316">
        <f t="shared" si="131"/>
        <v>0.3266666667</v>
      </c>
      <c r="EE29" s="91">
        <f t="shared" ref="EE29:EG29" si="132">IFERROR(AVERAGE(IFERROR(VALUE(AG29),""),IFERROR(VALUE(AJ29),""),IFERROR(VALUE(AM29),""),IFERROR(VALUE(AP29),""),IFERROR(VALUE(AS29),"")),"")</f>
        <v>0.3532</v>
      </c>
      <c r="EF29" s="38">
        <f t="shared" si="132"/>
        <v>0.6868</v>
      </c>
      <c r="EG29" s="113">
        <f t="shared" si="132"/>
        <v>0.5934</v>
      </c>
      <c r="EH29" s="215">
        <v>0.705</v>
      </c>
      <c r="EI29" s="317">
        <v>0.825</v>
      </c>
      <c r="EJ29" s="318">
        <f t="shared" si="91"/>
        <v>0.953799591</v>
      </c>
      <c r="EK29" s="149">
        <f t="shared" si="92"/>
        <v>0.8062558715</v>
      </c>
      <c r="EL29" s="319">
        <f t="shared" si="93"/>
        <v>0.7907914111</v>
      </c>
      <c r="EM29" s="67">
        <f t="shared" si="94"/>
        <v>0.5650154899</v>
      </c>
      <c r="EN29" s="129">
        <f t="shared" si="95"/>
        <v>0.37416171</v>
      </c>
      <c r="EO29" s="320">
        <v>0.98</v>
      </c>
      <c r="EP29" s="321">
        <f t="shared" ref="EP29:EQ29" si="133">IFERROR(AVERAGE(IFERROR(VALUE(CQ29),""),IFERROR(VALUE(CX29),""),IFERROR(VALUE(DE29),""),IFERROR(VALUE(DM29),"")),"")</f>
        <v>0.80925</v>
      </c>
      <c r="EQ29" s="322">
        <f t="shared" si="133"/>
        <v>0.92625</v>
      </c>
      <c r="ER29" s="299">
        <f t="shared" ref="ER29:ES29" si="134">IFERROR(AVERAGE(IFERROR(VALUE(CU29),""),IFERROR(VALUE(DB29),""),IFERROR(VALUE(DI29),""),IFERROR(VALUE(DO29),"")),"")</f>
        <v>0.61775</v>
      </c>
      <c r="ES29" s="310">
        <f t="shared" si="134"/>
        <v>0.4855</v>
      </c>
      <c r="ET29" s="323">
        <f t="shared" ref="ET29:EU29" si="135">IFERROR(AVERAGE(IFERROR(VALUE(CS29),""),IFERROR(VALUE(CZ29),""),IFERROR(VALUE(DG29),"")),"")</f>
        <v>0.602</v>
      </c>
      <c r="EU29" s="173">
        <f t="shared" si="135"/>
        <v>0.2673333333</v>
      </c>
      <c r="EV29" s="51">
        <v>0.673</v>
      </c>
      <c r="EW29" s="51">
        <v>0.249</v>
      </c>
    </row>
    <row r="30">
      <c r="A30" s="166"/>
      <c r="B30" s="167" t="s">
        <v>728</v>
      </c>
      <c r="C30" s="325">
        <v>0.885</v>
      </c>
      <c r="D30" s="326" t="s">
        <v>395</v>
      </c>
      <c r="E30" s="326" t="s">
        <v>645</v>
      </c>
      <c r="F30" s="326" t="s">
        <v>140</v>
      </c>
      <c r="G30" s="326" t="s">
        <v>100</v>
      </c>
      <c r="H30" s="326">
        <v>0.755</v>
      </c>
      <c r="I30" s="326" t="s">
        <v>674</v>
      </c>
      <c r="J30" s="326" t="s">
        <v>236</v>
      </c>
      <c r="K30" s="326" t="s">
        <v>541</v>
      </c>
      <c r="L30" s="326" t="s">
        <v>675</v>
      </c>
      <c r="M30" s="326">
        <v>0.754</v>
      </c>
      <c r="N30" s="326" t="s">
        <v>195</v>
      </c>
      <c r="O30" s="326" t="s">
        <v>196</v>
      </c>
      <c r="P30" s="326" t="s">
        <v>676</v>
      </c>
      <c r="Q30" s="326" t="s">
        <v>677</v>
      </c>
      <c r="R30" s="326">
        <v>0.65</v>
      </c>
      <c r="S30" s="326" t="s">
        <v>124</v>
      </c>
      <c r="T30" s="326" t="s">
        <v>678</v>
      </c>
      <c r="U30" s="326" t="s">
        <v>381</v>
      </c>
      <c r="V30" s="326" t="s">
        <v>448</v>
      </c>
      <c r="W30" s="326">
        <v>0.863</v>
      </c>
      <c r="X30" s="326" t="s">
        <v>679</v>
      </c>
      <c r="Y30" s="326" t="s">
        <v>367</v>
      </c>
      <c r="Z30" s="326" t="s">
        <v>680</v>
      </c>
      <c r="AA30" s="326" t="s">
        <v>480</v>
      </c>
      <c r="AB30" s="326">
        <v>0.818</v>
      </c>
      <c r="AC30" s="326" t="s">
        <v>650</v>
      </c>
      <c r="AD30" s="326" t="s">
        <v>493</v>
      </c>
      <c r="AE30" s="326" t="s">
        <v>361</v>
      </c>
      <c r="AF30" s="327" t="s">
        <v>681</v>
      </c>
      <c r="AG30" s="326">
        <v>0.528</v>
      </c>
      <c r="AH30" s="326" t="s">
        <v>558</v>
      </c>
      <c r="AI30" s="326" t="s">
        <v>682</v>
      </c>
      <c r="AJ30" s="326">
        <v>0.099</v>
      </c>
      <c r="AK30" s="326" t="s">
        <v>463</v>
      </c>
      <c r="AL30" s="326" t="s">
        <v>683</v>
      </c>
      <c r="AM30" s="326">
        <v>0.536</v>
      </c>
      <c r="AN30" s="326" t="s">
        <v>587</v>
      </c>
      <c r="AO30" s="326" t="s">
        <v>138</v>
      </c>
      <c r="AP30" s="326">
        <v>0.17</v>
      </c>
      <c r="AQ30" s="326" t="s">
        <v>262</v>
      </c>
      <c r="AR30" s="326" t="s">
        <v>684</v>
      </c>
      <c r="AS30" s="326">
        <v>0.445</v>
      </c>
      <c r="AT30" s="326" t="s">
        <v>246</v>
      </c>
      <c r="AU30" s="326" t="s">
        <v>240</v>
      </c>
      <c r="AV30" s="328">
        <v>0.265</v>
      </c>
      <c r="AW30" s="326" t="s">
        <v>637</v>
      </c>
      <c r="AX30" s="326" t="s">
        <v>685</v>
      </c>
      <c r="AY30" s="329">
        <v>0.129</v>
      </c>
      <c r="AZ30" s="326" t="s">
        <v>686</v>
      </c>
      <c r="BA30" s="326" t="s">
        <v>687</v>
      </c>
      <c r="BB30" s="329">
        <v>0.219</v>
      </c>
      <c r="BC30" s="326" t="s">
        <v>471</v>
      </c>
      <c r="BD30" s="326" t="s">
        <v>135</v>
      </c>
      <c r="BE30" s="329">
        <v>0.452</v>
      </c>
      <c r="BF30" s="326" t="s">
        <v>154</v>
      </c>
      <c r="BG30" s="326" t="s">
        <v>688</v>
      </c>
      <c r="BH30" s="329">
        <v>0.328</v>
      </c>
      <c r="BI30" s="326" t="s">
        <v>311</v>
      </c>
      <c r="BJ30" s="326" t="s">
        <v>167</v>
      </c>
      <c r="BK30" s="329">
        <v>0.203</v>
      </c>
      <c r="BL30" s="329">
        <v>0.763</v>
      </c>
      <c r="BM30" s="329">
        <v>0.824</v>
      </c>
      <c r="BN30" s="329">
        <v>0.192</v>
      </c>
      <c r="BO30" s="329">
        <v>0.76</v>
      </c>
      <c r="BP30" s="329">
        <v>0.826</v>
      </c>
      <c r="BQ30" s="326"/>
      <c r="BR30" s="326"/>
      <c r="BS30" s="327"/>
      <c r="BT30" s="326">
        <v>0.883</v>
      </c>
      <c r="BU30" s="326" t="s">
        <v>132</v>
      </c>
      <c r="BV30" s="326" t="s">
        <v>309</v>
      </c>
      <c r="BW30" s="326" t="s">
        <v>363</v>
      </c>
      <c r="BX30" s="326" t="s">
        <v>689</v>
      </c>
      <c r="BY30" s="326">
        <v>0.879</v>
      </c>
      <c r="BZ30" s="326" t="s">
        <v>123</v>
      </c>
      <c r="CA30" s="326" t="s">
        <v>449</v>
      </c>
      <c r="CB30" s="326" t="s">
        <v>482</v>
      </c>
      <c r="CC30" s="326" t="s">
        <v>221</v>
      </c>
      <c r="CD30" s="326" t="s">
        <v>591</v>
      </c>
      <c r="CE30" s="326" t="s">
        <v>138</v>
      </c>
      <c r="CF30" s="326" t="s">
        <v>138</v>
      </c>
      <c r="CG30" s="326" t="s">
        <v>690</v>
      </c>
      <c r="CH30" s="412">
        <v>0.9905419223</v>
      </c>
      <c r="CI30" s="412">
        <v>0.9800828922</v>
      </c>
      <c r="CJ30" s="412">
        <v>0.9930981595</v>
      </c>
      <c r="CK30" s="412">
        <v>0.8984056943</v>
      </c>
      <c r="CL30" s="412">
        <v>0.7105403059</v>
      </c>
      <c r="CM30" s="413">
        <v>0.703</v>
      </c>
      <c r="CN30" s="413">
        <v>0.692</v>
      </c>
      <c r="CO30" s="413">
        <v>0.383</v>
      </c>
      <c r="CP30" s="413">
        <v>0.124</v>
      </c>
      <c r="CQ30" s="414">
        <v>0.764</v>
      </c>
      <c r="CR30" s="412">
        <v>0.94</v>
      </c>
      <c r="CS30" s="412">
        <v>0.509</v>
      </c>
      <c r="CT30" s="412">
        <v>0.117</v>
      </c>
      <c r="CU30" s="412">
        <v>0.443</v>
      </c>
      <c r="CV30" s="412">
        <v>0.189</v>
      </c>
      <c r="CW30" s="412">
        <v>0.195</v>
      </c>
      <c r="CX30" s="412">
        <v>0.911</v>
      </c>
      <c r="CY30" s="412">
        <v>0.943</v>
      </c>
      <c r="CZ30" s="412">
        <v>0.688</v>
      </c>
      <c r="DA30" s="412">
        <v>0.305</v>
      </c>
      <c r="DB30" s="412">
        <v>0.829</v>
      </c>
      <c r="DC30" s="412">
        <v>0.667</v>
      </c>
      <c r="DD30" s="412">
        <v>0.354</v>
      </c>
      <c r="DE30" s="412">
        <v>0.632</v>
      </c>
      <c r="DF30" s="412">
        <v>0.735</v>
      </c>
      <c r="DG30" s="412">
        <v>0.557</v>
      </c>
      <c r="DH30" s="412">
        <v>0.266</v>
      </c>
      <c r="DI30" s="412">
        <v>0.241</v>
      </c>
      <c r="DJ30" s="412">
        <v>0.086</v>
      </c>
      <c r="DK30" s="412">
        <v>0.326</v>
      </c>
      <c r="DL30" s="412">
        <v>0.949</v>
      </c>
      <c r="DM30" s="412" t="s">
        <v>691</v>
      </c>
      <c r="DN30" s="412" t="s">
        <v>141</v>
      </c>
      <c r="DO30" s="412" t="s">
        <v>67</v>
      </c>
      <c r="DP30" s="415" t="s">
        <v>472</v>
      </c>
      <c r="DQ30" s="352">
        <v>0.429</v>
      </c>
      <c r="DR30" s="352">
        <v>0.65</v>
      </c>
      <c r="DS30" s="352">
        <v>0.752</v>
      </c>
      <c r="DT30" s="352">
        <v>0.244</v>
      </c>
      <c r="DU30" s="352">
        <v>0.097</v>
      </c>
      <c r="DZ30" s="332">
        <f t="shared" ref="DZ30:ED30" si="136">IFERROR(AVERAGE(IFERROR(VALUE(C30),""),IFERROR(VALUE(H30),""),IFERROR(VALUE(M30),""),IFERROR(VALUE(R30),""),IFERROR(VALUE(W30),""),IFERROR(VALUE(AB30),"")),"")</f>
        <v>0.7875</v>
      </c>
      <c r="EA30" s="333">
        <f t="shared" si="136"/>
        <v>0.7905</v>
      </c>
      <c r="EB30" s="334">
        <f t="shared" si="136"/>
        <v>0.6926666667</v>
      </c>
      <c r="EC30" s="335">
        <f t="shared" si="136"/>
        <v>0.5361666667</v>
      </c>
      <c r="ED30" s="336">
        <f t="shared" si="136"/>
        <v>0.2746666667</v>
      </c>
      <c r="EE30" s="337">
        <f t="shared" ref="EE30:EG30" si="137">IFERROR(AVERAGE(IFERROR(VALUE(AG30),""),IFERROR(VALUE(AJ30),""),IFERROR(VALUE(AM30),""),IFERROR(VALUE(AP30),""),IFERROR(VALUE(AS30),"")),"")</f>
        <v>0.3556</v>
      </c>
      <c r="EF30" s="338">
        <f t="shared" si="137"/>
        <v>0.7042</v>
      </c>
      <c r="EG30" s="339">
        <f t="shared" si="137"/>
        <v>0.5528</v>
      </c>
      <c r="EH30" s="340">
        <v>0.706</v>
      </c>
      <c r="EI30" s="341">
        <v>0.803</v>
      </c>
      <c r="EJ30" s="342">
        <f t="shared" si="91"/>
        <v>0.9175139741</v>
      </c>
      <c r="EK30" s="254">
        <f t="shared" si="92"/>
        <v>0.7975207231</v>
      </c>
      <c r="EL30" s="83">
        <f t="shared" si="93"/>
        <v>0.7522745399</v>
      </c>
      <c r="EM30" s="343">
        <f t="shared" si="94"/>
        <v>0.5301014236</v>
      </c>
      <c r="EN30" s="344">
        <f t="shared" si="95"/>
        <v>0.3138850765</v>
      </c>
      <c r="EO30" s="345">
        <v>0.949</v>
      </c>
      <c r="EP30" s="346">
        <f t="shared" ref="EP30:EQ30" si="138">IFERROR(AVERAGE(IFERROR(VALUE(CQ30),""),IFERROR(VALUE(CX30),""),IFERROR(VALUE(DE30),""),IFERROR(VALUE(DM30),"")),"")</f>
        <v>0.7755</v>
      </c>
      <c r="EQ30" s="347">
        <f t="shared" si="138"/>
        <v>0.87875</v>
      </c>
      <c r="ER30" s="348">
        <f t="shared" ref="ER30:ES30" si="139">IFERROR(AVERAGE(IFERROR(VALUE(CU30),""),IFERROR(VALUE(DB30),""),IFERROR(VALUE(DI30),""),IFERROR(VALUE(DO30),"")),"")</f>
        <v>0.486</v>
      </c>
      <c r="ES30" s="349">
        <f t="shared" si="139"/>
        <v>0.3</v>
      </c>
      <c r="ET30" s="350">
        <f t="shared" ref="ET30:EU30" si="140">IFERROR(AVERAGE(IFERROR(VALUE(CS30),""),IFERROR(VALUE(CZ30),""),IFERROR(VALUE(DG30),"")),"")</f>
        <v>0.5846666667</v>
      </c>
      <c r="EU30" s="351">
        <f t="shared" si="140"/>
        <v>0.2293333333</v>
      </c>
      <c r="EV30" s="51">
        <v>0.637</v>
      </c>
      <c r="EW30" s="51">
        <v>0.255</v>
      </c>
    </row>
    <row r="31"/>
    <row r="32"/>
    <row r="33"/>
    <row r="34"/>
    <row r="35"/>
    <row r="36"/>
    <row r="37"/>
    <row r="38"/>
    <row r="39">
      <c r="R39" s="1" t="s">
        <v>692</v>
      </c>
    </row>
    <row r="40">
      <c r="A40" s="1" t="s">
        <v>693</v>
      </c>
    </row>
    <row r="41"/>
    <row r="42"/>
    <row r="43"/>
    <row r="44"/>
    <row r="45"/>
    <row r="46">
      <c r="CD46" s="1" t="s">
        <v>13</v>
      </c>
      <c r="CH46" s="1" t="s">
        <v>14</v>
      </c>
      <c r="CI46" s="1" t="s">
        <v>15</v>
      </c>
    </row>
    <row r="47">
      <c r="BU47" s="1" t="s">
        <v>694</v>
      </c>
      <c r="CD47" s="1">
        <v>0.714</v>
      </c>
      <c r="CH47" s="1">
        <v>0.621</v>
      </c>
      <c r="CI47" s="1">
        <v>0.387</v>
      </c>
    </row>
    <row r="48">
      <c r="BU48" s="1" t="s">
        <v>695</v>
      </c>
      <c r="CD48" s="1">
        <v>0.282</v>
      </c>
      <c r="CH48" s="1">
        <v>0.755</v>
      </c>
      <c r="CI48" s="1">
        <v>0.491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conditionalFormatting sqref="DZ5:DZ48">
    <cfRule type="colorScale" priority="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A5:EA48">
    <cfRule type="colorScale" priority="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B5:EB48">
    <cfRule type="colorScale" priority="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C5:EC48">
    <cfRule type="colorScale" priority="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D5:ED48">
    <cfRule type="colorScale" priority="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E5:EE48">
    <cfRule type="colorScale" priority="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F5:EF48">
    <cfRule type="colorScale" priority="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G5:EG48">
    <cfRule type="colorScale" priority="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H5:EH48">
    <cfRule type="colorScale" priority="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I5:EI48">
    <cfRule type="colorScale" priority="1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J5:EJ48">
    <cfRule type="colorScale" priority="1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K5:EK48">
    <cfRule type="colorScale" priority="1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L5:EL48">
    <cfRule type="colorScale" priority="1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M5:EM48">
    <cfRule type="colorScale" priority="1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N5:EN48">
    <cfRule type="colorScale" priority="1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O5:EO48">
    <cfRule type="colorScale" priority="1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P5:EP48">
    <cfRule type="colorScale" priority="1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Q5:EQ48">
    <cfRule type="colorScale" priority="1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R5:ER48">
    <cfRule type="colorScale" priority="1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S5:ES48">
    <cfRule type="colorScale" priority="2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T5:EU48 EV31:EW48">
    <cfRule type="colorScale" priority="2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W5:EW3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V5:EV30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14.86"/>
    <col customWidth="1" min="2" max="2" width="35.57"/>
    <col customWidth="1" min="3" max="71" width="8.71"/>
    <col customWidth="1" min="72" max="72" width="14.71"/>
    <col customWidth="1" min="73" max="76" width="8.71"/>
    <col customWidth="1" min="77" max="77" width="17.0"/>
    <col customWidth="1" min="78" max="90" width="8.71"/>
    <col customWidth="1" min="91" max="94" width="12.57"/>
    <col customWidth="1" min="95" max="122" width="8.71"/>
    <col customWidth="1" min="123" max="123" width="12.71"/>
    <col customWidth="1" min="124" max="128" width="8.71"/>
    <col customWidth="1" min="129" max="129" width="13.14"/>
    <col customWidth="1" min="130" max="140" width="8.71"/>
  </cols>
  <sheetData>
    <row r="1">
      <c r="A1" s="1" t="s">
        <v>0</v>
      </c>
    </row>
    <row r="2">
      <c r="A2" s="1" t="s">
        <v>1</v>
      </c>
      <c r="C2" s="2" t="s">
        <v>2</v>
      </c>
      <c r="AG2" s="1" t="s">
        <v>3</v>
      </c>
      <c r="AV2" s="1" t="s">
        <v>4</v>
      </c>
      <c r="BZ2" s="1" t="s">
        <v>5</v>
      </c>
      <c r="CQ2" s="1" t="s">
        <v>6</v>
      </c>
      <c r="DO2" s="3" t="s">
        <v>7</v>
      </c>
      <c r="DP2" s="4"/>
      <c r="DQ2" s="4"/>
      <c r="DR2" s="4"/>
      <c r="DS2" s="4"/>
      <c r="DT2" s="3" t="s">
        <v>8</v>
      </c>
      <c r="DU2" s="4"/>
      <c r="DV2" s="4"/>
      <c r="DW2" s="3" t="s">
        <v>9</v>
      </c>
      <c r="DX2" s="5"/>
      <c r="DY2" s="431" t="s">
        <v>10</v>
      </c>
      <c r="DZ2" s="432" t="s">
        <v>10</v>
      </c>
      <c r="EA2" s="433"/>
      <c r="EB2" s="433"/>
      <c r="EC2" s="434"/>
      <c r="ED2" s="10" t="s">
        <v>11</v>
      </c>
      <c r="EE2" s="4"/>
      <c r="EF2" s="4"/>
      <c r="EG2" s="4"/>
      <c r="EH2" s="4"/>
      <c r="EI2" s="4"/>
      <c r="EJ2" s="4"/>
    </row>
    <row r="3"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13</v>
      </c>
      <c r="I3" s="11" t="s">
        <v>13</v>
      </c>
      <c r="J3" s="11" t="s">
        <v>13</v>
      </c>
      <c r="K3" s="11" t="s">
        <v>13</v>
      </c>
      <c r="L3" s="11" t="s">
        <v>13</v>
      </c>
      <c r="M3" s="11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15</v>
      </c>
      <c r="S3" s="11" t="s">
        <v>15</v>
      </c>
      <c r="T3" s="11" t="s">
        <v>15</v>
      </c>
      <c r="U3" s="11" t="s">
        <v>15</v>
      </c>
      <c r="V3" s="11" t="s">
        <v>15</v>
      </c>
      <c r="W3" s="11" t="s">
        <v>16</v>
      </c>
      <c r="X3" s="11" t="s">
        <v>16</v>
      </c>
      <c r="Y3" s="11" t="s">
        <v>16</v>
      </c>
      <c r="Z3" s="11" t="s">
        <v>16</v>
      </c>
      <c r="AA3" s="11" t="s">
        <v>16</v>
      </c>
      <c r="AB3" s="11" t="s">
        <v>17</v>
      </c>
      <c r="AC3" s="11" t="s">
        <v>17</v>
      </c>
      <c r="AD3" s="11" t="s">
        <v>17</v>
      </c>
      <c r="AE3" s="11" t="s">
        <v>17</v>
      </c>
      <c r="AF3" s="11" t="s">
        <v>17</v>
      </c>
      <c r="AG3" s="11" t="s">
        <v>18</v>
      </c>
      <c r="AH3" s="11" t="s">
        <v>18</v>
      </c>
      <c r="AI3" s="11" t="s">
        <v>18</v>
      </c>
      <c r="AJ3" s="11" t="s">
        <v>19</v>
      </c>
      <c r="AK3" s="11" t="s">
        <v>19</v>
      </c>
      <c r="AL3" s="11" t="s">
        <v>19</v>
      </c>
      <c r="AM3" s="11" t="s">
        <v>20</v>
      </c>
      <c r="AN3" s="11" t="s">
        <v>20</v>
      </c>
      <c r="AO3" s="11" t="s">
        <v>20</v>
      </c>
      <c r="AP3" s="11" t="s">
        <v>21</v>
      </c>
      <c r="AQ3" s="11" t="s">
        <v>21</v>
      </c>
      <c r="AR3" s="11" t="s">
        <v>21</v>
      </c>
      <c r="AS3" s="11" t="s">
        <v>22</v>
      </c>
      <c r="AT3" s="11" t="s">
        <v>22</v>
      </c>
      <c r="AU3" s="11" t="s">
        <v>22</v>
      </c>
      <c r="AV3" s="11" t="s">
        <v>23</v>
      </c>
      <c r="AW3" s="11" t="s">
        <v>23</v>
      </c>
      <c r="AX3" s="11" t="s">
        <v>23</v>
      </c>
      <c r="AY3" s="11" t="s">
        <v>24</v>
      </c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25</v>
      </c>
      <c r="BE3" s="11" t="s">
        <v>26</v>
      </c>
      <c r="BF3" s="11" t="s">
        <v>26</v>
      </c>
      <c r="BG3" s="11" t="s">
        <v>26</v>
      </c>
      <c r="BH3" s="11" t="s">
        <v>27</v>
      </c>
      <c r="BI3" s="11" t="s">
        <v>27</v>
      </c>
      <c r="BJ3" s="11" t="s">
        <v>27</v>
      </c>
      <c r="BK3" s="11" t="s">
        <v>28</v>
      </c>
      <c r="BL3" s="11" t="s">
        <v>28</v>
      </c>
      <c r="BM3" s="11" t="s">
        <v>28</v>
      </c>
      <c r="BN3" s="11" t="s">
        <v>29</v>
      </c>
      <c r="BO3" s="11" t="s">
        <v>29</v>
      </c>
      <c r="BP3" s="11" t="s">
        <v>29</v>
      </c>
      <c r="BQ3" s="11" t="s">
        <v>30</v>
      </c>
      <c r="BR3" s="11" t="s">
        <v>30</v>
      </c>
      <c r="BS3" s="11" t="s">
        <v>30</v>
      </c>
      <c r="BT3" s="11" t="s">
        <v>31</v>
      </c>
      <c r="BU3" s="11" t="s">
        <v>31</v>
      </c>
      <c r="BV3" s="11" t="s">
        <v>31</v>
      </c>
      <c r="BW3" s="11" t="s">
        <v>31</v>
      </c>
      <c r="BX3" s="11" t="s">
        <v>31</v>
      </c>
      <c r="BY3" s="11" t="s">
        <v>32</v>
      </c>
      <c r="BZ3" s="11" t="s">
        <v>32</v>
      </c>
      <c r="CA3" s="11" t="s">
        <v>32</v>
      </c>
      <c r="CB3" s="11" t="s">
        <v>32</v>
      </c>
      <c r="CC3" s="11" t="s">
        <v>32</v>
      </c>
      <c r="CD3" s="11" t="s">
        <v>33</v>
      </c>
      <c r="CE3" s="11" t="s">
        <v>33</v>
      </c>
      <c r="CF3" s="11" t="s">
        <v>33</v>
      </c>
      <c r="CG3" s="11" t="s">
        <v>33</v>
      </c>
      <c r="CH3" s="11" t="s">
        <v>34</v>
      </c>
      <c r="CI3" s="11" t="s">
        <v>34</v>
      </c>
      <c r="CJ3" s="11" t="s">
        <v>34</v>
      </c>
      <c r="CK3" s="11" t="s">
        <v>34</v>
      </c>
      <c r="CL3" s="11" t="s">
        <v>34</v>
      </c>
      <c r="CM3" s="12" t="s">
        <v>35</v>
      </c>
      <c r="CN3" s="12" t="s">
        <v>35</v>
      </c>
      <c r="CO3" s="12" t="s">
        <v>35</v>
      </c>
      <c r="CP3" s="12" t="s">
        <v>35</v>
      </c>
      <c r="CQ3" s="11" t="s">
        <v>36</v>
      </c>
      <c r="CR3" s="11" t="s">
        <v>36</v>
      </c>
      <c r="CS3" s="11" t="s">
        <v>36</v>
      </c>
      <c r="CT3" s="11" t="s">
        <v>36</v>
      </c>
      <c r="CU3" s="11" t="s">
        <v>36</v>
      </c>
      <c r="CV3" s="11" t="s">
        <v>36</v>
      </c>
      <c r="CW3" s="11" t="s">
        <v>37</v>
      </c>
      <c r="CX3" s="11" t="s">
        <v>37</v>
      </c>
      <c r="CY3" s="11" t="s">
        <v>37</v>
      </c>
      <c r="CZ3" s="11" t="s">
        <v>37</v>
      </c>
      <c r="DA3" s="11" t="s">
        <v>37</v>
      </c>
      <c r="DB3" s="11" t="s">
        <v>37</v>
      </c>
      <c r="DC3" s="11" t="s">
        <v>38</v>
      </c>
      <c r="DD3" s="11" t="s">
        <v>38</v>
      </c>
      <c r="DE3" s="11" t="s">
        <v>38</v>
      </c>
      <c r="DF3" s="11" t="s">
        <v>38</v>
      </c>
      <c r="DG3" s="11" t="s">
        <v>38</v>
      </c>
      <c r="DH3" s="11" t="s">
        <v>38</v>
      </c>
      <c r="DI3" s="11" t="s">
        <v>39</v>
      </c>
      <c r="DJ3" s="11" t="s">
        <v>39</v>
      </c>
      <c r="DK3" s="11" t="s">
        <v>39</v>
      </c>
      <c r="DL3" s="11" t="s">
        <v>39</v>
      </c>
      <c r="DM3" s="11" t="s">
        <v>39</v>
      </c>
      <c r="DO3" s="13" t="s">
        <v>41</v>
      </c>
      <c r="DP3" s="14" t="s">
        <v>41</v>
      </c>
      <c r="DQ3" s="14" t="s">
        <v>41</v>
      </c>
      <c r="DR3" s="14" t="s">
        <v>41</v>
      </c>
      <c r="DS3" s="15" t="s">
        <v>41</v>
      </c>
      <c r="DT3" s="13" t="s">
        <v>42</v>
      </c>
      <c r="DU3" s="14" t="s">
        <v>42</v>
      </c>
      <c r="DV3" s="15" t="s">
        <v>42</v>
      </c>
      <c r="DW3" s="14" t="s">
        <v>4</v>
      </c>
      <c r="DX3" s="15" t="s">
        <v>4</v>
      </c>
      <c r="DY3" s="435" t="s">
        <v>5</v>
      </c>
      <c r="DZ3" s="436" t="s">
        <v>5</v>
      </c>
      <c r="EA3" s="436" t="s">
        <v>5</v>
      </c>
      <c r="EB3" s="436" t="s">
        <v>5</v>
      </c>
      <c r="EC3" s="437" t="s">
        <v>5</v>
      </c>
      <c r="ED3" s="13" t="s">
        <v>43</v>
      </c>
      <c r="EE3" s="14" t="s">
        <v>43</v>
      </c>
      <c r="EF3" s="14" t="s">
        <v>43</v>
      </c>
      <c r="EG3" s="14" t="s">
        <v>43</v>
      </c>
      <c r="EH3" s="14" t="s">
        <v>43</v>
      </c>
      <c r="EI3" s="14" t="s">
        <v>43</v>
      </c>
      <c r="EJ3" s="15" t="s">
        <v>43</v>
      </c>
    </row>
    <row r="4"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44</v>
      </c>
      <c r="N4" s="11" t="s">
        <v>45</v>
      </c>
      <c r="O4" s="11" t="s">
        <v>46</v>
      </c>
      <c r="P4" s="11" t="s">
        <v>47</v>
      </c>
      <c r="Q4" s="11" t="s">
        <v>48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1" t="s">
        <v>44</v>
      </c>
      <c r="AC4" s="11" t="s">
        <v>45</v>
      </c>
      <c r="AD4" s="11" t="s">
        <v>46</v>
      </c>
      <c r="AE4" s="11" t="s">
        <v>47</v>
      </c>
      <c r="AF4" s="11" t="s">
        <v>48</v>
      </c>
      <c r="AG4" s="11" t="s">
        <v>44</v>
      </c>
      <c r="AH4" s="11" t="s">
        <v>45</v>
      </c>
      <c r="AI4" s="11" t="s">
        <v>46</v>
      </c>
      <c r="AJ4" s="11" t="s">
        <v>44</v>
      </c>
      <c r="AK4" s="11" t="s">
        <v>45</v>
      </c>
      <c r="AL4" s="11" t="s">
        <v>46</v>
      </c>
      <c r="AM4" s="11" t="s">
        <v>44</v>
      </c>
      <c r="AN4" s="11" t="s">
        <v>45</v>
      </c>
      <c r="AO4" s="11" t="s">
        <v>46</v>
      </c>
      <c r="AP4" s="11" t="s">
        <v>44</v>
      </c>
      <c r="AQ4" s="11" t="s">
        <v>45</v>
      </c>
      <c r="AR4" s="11" t="s">
        <v>46</v>
      </c>
      <c r="AS4" s="11" t="s">
        <v>44</v>
      </c>
      <c r="AT4" s="11" t="s">
        <v>45</v>
      </c>
      <c r="AU4" s="11" t="s">
        <v>46</v>
      </c>
      <c r="AV4" s="11" t="s">
        <v>44</v>
      </c>
      <c r="AW4" s="11" t="s">
        <v>45</v>
      </c>
      <c r="AX4" s="11" t="s">
        <v>46</v>
      </c>
      <c r="AY4" s="11" t="s">
        <v>44</v>
      </c>
      <c r="AZ4" s="11" t="s">
        <v>45</v>
      </c>
      <c r="BA4" s="11" t="s">
        <v>46</v>
      </c>
      <c r="BB4" s="11" t="s">
        <v>44</v>
      </c>
      <c r="BC4" s="11" t="s">
        <v>45</v>
      </c>
      <c r="BD4" s="11" t="s">
        <v>46</v>
      </c>
      <c r="BE4" s="11" t="s">
        <v>44</v>
      </c>
      <c r="BF4" s="11" t="s">
        <v>45</v>
      </c>
      <c r="BG4" s="11" t="s">
        <v>46</v>
      </c>
      <c r="BH4" s="11" t="s">
        <v>44</v>
      </c>
      <c r="BI4" s="11" t="s">
        <v>45</v>
      </c>
      <c r="BJ4" s="11" t="s">
        <v>46</v>
      </c>
      <c r="BK4" s="11" t="s">
        <v>44</v>
      </c>
      <c r="BL4" s="11" t="s">
        <v>45</v>
      </c>
      <c r="BM4" s="11" t="s">
        <v>46</v>
      </c>
      <c r="BN4" s="11" t="s">
        <v>44</v>
      </c>
      <c r="BO4" s="11" t="s">
        <v>45</v>
      </c>
      <c r="BP4" s="11" t="s">
        <v>46</v>
      </c>
      <c r="BQ4" s="11" t="s">
        <v>44</v>
      </c>
      <c r="BR4" s="11" t="s">
        <v>45</v>
      </c>
      <c r="BS4" s="11" t="s">
        <v>46</v>
      </c>
      <c r="BT4" s="11" t="s">
        <v>44</v>
      </c>
      <c r="BU4" s="11" t="s">
        <v>45</v>
      </c>
      <c r="BV4" s="11" t="s">
        <v>46</v>
      </c>
      <c r="BW4" s="11" t="s">
        <v>47</v>
      </c>
      <c r="BX4" s="11" t="s">
        <v>48</v>
      </c>
      <c r="BY4" s="11" t="s">
        <v>44</v>
      </c>
      <c r="BZ4" s="11" t="s">
        <v>45</v>
      </c>
      <c r="CA4" s="11" t="s">
        <v>46</v>
      </c>
      <c r="CB4" s="11" t="s">
        <v>47</v>
      </c>
      <c r="CC4" s="11" t="s">
        <v>48</v>
      </c>
      <c r="CD4" s="11" t="s">
        <v>45</v>
      </c>
      <c r="CE4" s="11" t="s">
        <v>46</v>
      </c>
      <c r="CF4" s="11" t="s">
        <v>47</v>
      </c>
      <c r="CG4" s="11" t="s">
        <v>48</v>
      </c>
      <c r="CH4" s="11" t="s">
        <v>44</v>
      </c>
      <c r="CI4" s="11" t="s">
        <v>45</v>
      </c>
      <c r="CJ4" s="11" t="s">
        <v>46</v>
      </c>
      <c r="CK4" s="11" t="s">
        <v>47</v>
      </c>
      <c r="CL4" s="11" t="s">
        <v>48</v>
      </c>
      <c r="CM4" s="11" t="s">
        <v>45</v>
      </c>
      <c r="CN4" s="11" t="s">
        <v>46</v>
      </c>
      <c r="CO4" s="11" t="s">
        <v>47</v>
      </c>
      <c r="CP4" s="11" t="s">
        <v>48</v>
      </c>
      <c r="CQ4" s="11" t="s">
        <v>45</v>
      </c>
      <c r="CR4" s="11" t="s">
        <v>46</v>
      </c>
      <c r="CS4" s="11" t="s">
        <v>49</v>
      </c>
      <c r="CT4" s="11" t="s">
        <v>50</v>
      </c>
      <c r="CU4" s="11" t="s">
        <v>47</v>
      </c>
      <c r="CV4" s="11" t="s">
        <v>48</v>
      </c>
      <c r="CW4" s="11" t="s">
        <v>45</v>
      </c>
      <c r="CX4" s="11" t="s">
        <v>46</v>
      </c>
      <c r="CY4" s="11" t="s">
        <v>49</v>
      </c>
      <c r="CZ4" s="11" t="s">
        <v>50</v>
      </c>
      <c r="DA4" s="11" t="s">
        <v>47</v>
      </c>
      <c r="DB4" s="11" t="s">
        <v>48</v>
      </c>
      <c r="DC4" s="11" t="s">
        <v>45</v>
      </c>
      <c r="DD4" s="11" t="s">
        <v>46</v>
      </c>
      <c r="DE4" s="11" t="s">
        <v>49</v>
      </c>
      <c r="DF4" s="11" t="s">
        <v>50</v>
      </c>
      <c r="DG4" s="11" t="s">
        <v>47</v>
      </c>
      <c r="DH4" s="11" t="s">
        <v>48</v>
      </c>
      <c r="DI4" s="11" t="s">
        <v>44</v>
      </c>
      <c r="DJ4" s="11" t="s">
        <v>45</v>
      </c>
      <c r="DK4" s="11" t="s">
        <v>46</v>
      </c>
      <c r="DL4" s="11" t="s">
        <v>47</v>
      </c>
      <c r="DM4" s="11" t="s">
        <v>48</v>
      </c>
      <c r="DO4" s="19" t="s">
        <v>44</v>
      </c>
      <c r="DP4" s="5" t="s">
        <v>45</v>
      </c>
      <c r="DQ4" s="5" t="s">
        <v>46</v>
      </c>
      <c r="DR4" s="5" t="s">
        <v>47</v>
      </c>
      <c r="DS4" s="20" t="s">
        <v>48</v>
      </c>
      <c r="DT4" s="19" t="s">
        <v>44</v>
      </c>
      <c r="DU4" s="5" t="s">
        <v>45</v>
      </c>
      <c r="DV4" s="20" t="s">
        <v>46</v>
      </c>
      <c r="DW4" s="5" t="s">
        <v>45</v>
      </c>
      <c r="DX4" s="20" t="s">
        <v>46</v>
      </c>
      <c r="DY4" s="438" t="s">
        <v>44</v>
      </c>
      <c r="DZ4" s="434" t="s">
        <v>45</v>
      </c>
      <c r="EA4" s="434" t="s">
        <v>46</v>
      </c>
      <c r="EB4" s="434" t="s">
        <v>47</v>
      </c>
      <c r="EC4" s="439" t="s">
        <v>48</v>
      </c>
      <c r="ED4" s="19" t="s">
        <v>44</v>
      </c>
      <c r="EE4" s="5" t="s">
        <v>45</v>
      </c>
      <c r="EF4" s="5" t="s">
        <v>46</v>
      </c>
      <c r="EG4" s="5" t="s">
        <v>47</v>
      </c>
      <c r="EH4" s="5" t="s">
        <v>48</v>
      </c>
      <c r="EI4" s="5" t="s">
        <v>49</v>
      </c>
      <c r="EJ4" s="20" t="s">
        <v>50</v>
      </c>
    </row>
    <row r="5">
      <c r="A5" s="23" t="s">
        <v>52</v>
      </c>
      <c r="B5" s="24" t="s">
        <v>53</v>
      </c>
      <c r="C5" s="25">
        <v>0.82</v>
      </c>
      <c r="D5" s="26" t="s">
        <v>54</v>
      </c>
      <c r="E5" s="26" t="s">
        <v>55</v>
      </c>
      <c r="F5" s="26" t="s">
        <v>56</v>
      </c>
      <c r="G5" s="26" t="s">
        <v>57</v>
      </c>
      <c r="H5" s="26">
        <v>0.332</v>
      </c>
      <c r="I5" s="26" t="s">
        <v>58</v>
      </c>
      <c r="J5" s="26" t="s">
        <v>59</v>
      </c>
      <c r="K5" s="26" t="s">
        <v>60</v>
      </c>
      <c r="L5" s="26" t="s">
        <v>61</v>
      </c>
      <c r="M5" s="26">
        <v>0.769</v>
      </c>
      <c r="N5" s="26" t="s">
        <v>62</v>
      </c>
      <c r="O5" s="26" t="s">
        <v>63</v>
      </c>
      <c r="P5" s="26" t="s">
        <v>64</v>
      </c>
      <c r="Q5" s="26" t="s">
        <v>65</v>
      </c>
      <c r="R5" s="26">
        <v>0.639</v>
      </c>
      <c r="S5" s="26" t="s">
        <v>66</v>
      </c>
      <c r="T5" s="26" t="s">
        <v>67</v>
      </c>
      <c r="U5" s="26" t="s">
        <v>68</v>
      </c>
      <c r="V5" s="26" t="s">
        <v>69</v>
      </c>
      <c r="W5" s="26">
        <v>0.842</v>
      </c>
      <c r="X5" s="26" t="s">
        <v>70</v>
      </c>
      <c r="Y5" s="26" t="s">
        <v>71</v>
      </c>
      <c r="Z5" s="26" t="s">
        <v>72</v>
      </c>
      <c r="AA5" s="26" t="s">
        <v>73</v>
      </c>
      <c r="AB5" s="26">
        <v>0.945</v>
      </c>
      <c r="AC5" s="26" t="s">
        <v>74</v>
      </c>
      <c r="AD5" s="26" t="s">
        <v>75</v>
      </c>
      <c r="AE5" s="26" t="s">
        <v>76</v>
      </c>
      <c r="AF5" s="27" t="s">
        <v>77</v>
      </c>
      <c r="AG5" s="26">
        <v>0.428</v>
      </c>
      <c r="AH5" s="26" t="s">
        <v>78</v>
      </c>
      <c r="AI5" s="26" t="s">
        <v>79</v>
      </c>
      <c r="AJ5" s="26">
        <v>0.094</v>
      </c>
      <c r="AK5" s="26" t="s">
        <v>80</v>
      </c>
      <c r="AL5" s="26" t="s">
        <v>81</v>
      </c>
      <c r="AM5" s="26">
        <v>0.577</v>
      </c>
      <c r="AN5" s="26" t="s">
        <v>82</v>
      </c>
      <c r="AO5" s="26" t="s">
        <v>83</v>
      </c>
      <c r="AP5" s="26">
        <v>0.216</v>
      </c>
      <c r="AQ5" s="26" t="s">
        <v>84</v>
      </c>
      <c r="AR5" s="26" t="s">
        <v>85</v>
      </c>
      <c r="AS5" s="26">
        <v>0.381</v>
      </c>
      <c r="AT5" s="26" t="s">
        <v>86</v>
      </c>
      <c r="AU5" s="26" t="s">
        <v>87</v>
      </c>
      <c r="AV5" s="25"/>
      <c r="AW5" s="26" t="s">
        <v>88</v>
      </c>
      <c r="AX5" s="26" t="s">
        <v>89</v>
      </c>
      <c r="AY5" s="26"/>
      <c r="AZ5" s="26" t="s">
        <v>90</v>
      </c>
      <c r="BA5" s="26" t="s">
        <v>91</v>
      </c>
      <c r="BB5" s="26"/>
      <c r="BC5" s="26" t="s">
        <v>92</v>
      </c>
      <c r="BD5" s="26" t="s">
        <v>93</v>
      </c>
      <c r="BE5" s="26"/>
      <c r="BF5" s="26" t="s">
        <v>94</v>
      </c>
      <c r="BG5" s="26" t="s">
        <v>95</v>
      </c>
      <c r="BH5" s="26"/>
      <c r="BI5" s="26" t="s">
        <v>96</v>
      </c>
      <c r="BJ5" s="26" t="s">
        <v>97</v>
      </c>
      <c r="BK5" s="26"/>
      <c r="BL5" s="72">
        <v>0.751</v>
      </c>
      <c r="BM5" s="72">
        <v>0.825</v>
      </c>
      <c r="BN5" s="26"/>
      <c r="BO5" s="72">
        <v>0.751</v>
      </c>
      <c r="BP5" s="72">
        <v>0.853</v>
      </c>
      <c r="BQ5" s="26"/>
      <c r="BR5" s="26"/>
      <c r="BS5" s="27"/>
      <c r="BT5" s="26" t="s">
        <v>98</v>
      </c>
      <c r="BU5" s="26" t="s">
        <v>77</v>
      </c>
      <c r="BV5" s="26" t="s">
        <v>99</v>
      </c>
      <c r="BW5" s="26" t="s">
        <v>100</v>
      </c>
      <c r="BX5" s="26" t="s">
        <v>101</v>
      </c>
      <c r="BY5" s="26" t="s">
        <v>102</v>
      </c>
      <c r="BZ5" s="26" t="s">
        <v>103</v>
      </c>
      <c r="CA5" s="26" t="s">
        <v>104</v>
      </c>
      <c r="CB5" s="26" t="s">
        <v>105</v>
      </c>
      <c r="CC5" s="26" t="s">
        <v>106</v>
      </c>
      <c r="CD5" s="26" t="s">
        <v>107</v>
      </c>
      <c r="CE5" s="26" t="s">
        <v>108</v>
      </c>
      <c r="CF5" s="26" t="s">
        <v>109</v>
      </c>
      <c r="CG5" s="26" t="s">
        <v>110</v>
      </c>
      <c r="CH5" s="4">
        <v>0.9486196319</v>
      </c>
      <c r="CI5" s="4">
        <v>0.898063264</v>
      </c>
      <c r="CJ5" s="4">
        <v>0.9207566462</v>
      </c>
      <c r="CK5" s="4">
        <v>0.7423079753</v>
      </c>
      <c r="CL5" s="4">
        <v>0.6220189648</v>
      </c>
      <c r="CM5" s="144">
        <v>0.657</v>
      </c>
      <c r="CN5" s="144">
        <v>0.69</v>
      </c>
      <c r="CO5" s="144">
        <v>0.359</v>
      </c>
      <c r="CP5" s="144">
        <v>0.124</v>
      </c>
      <c r="CQ5" s="25" t="s">
        <v>349</v>
      </c>
      <c r="CR5" s="26" t="s">
        <v>729</v>
      </c>
      <c r="CS5" s="26" t="s">
        <v>730</v>
      </c>
      <c r="CT5" s="26" t="s">
        <v>562</v>
      </c>
      <c r="CU5" s="26" t="s">
        <v>489</v>
      </c>
      <c r="CV5" s="26" t="s">
        <v>731</v>
      </c>
      <c r="CW5" s="26" t="s">
        <v>290</v>
      </c>
      <c r="CX5" s="26" t="s">
        <v>163</v>
      </c>
      <c r="CY5" s="26" t="s">
        <v>588</v>
      </c>
      <c r="CZ5" s="26" t="s">
        <v>81</v>
      </c>
      <c r="DA5" s="26" t="s">
        <v>242</v>
      </c>
      <c r="DB5" s="26" t="s">
        <v>379</v>
      </c>
      <c r="DC5" s="26" t="s">
        <v>732</v>
      </c>
      <c r="DD5" s="26" t="s">
        <v>733</v>
      </c>
      <c r="DE5" s="26" t="s">
        <v>364</v>
      </c>
      <c r="DF5" s="26" t="s">
        <v>734</v>
      </c>
      <c r="DG5" s="26" t="s">
        <v>410</v>
      </c>
      <c r="DH5" s="26" t="s">
        <v>109</v>
      </c>
      <c r="DI5" s="26">
        <v>0.963</v>
      </c>
      <c r="DJ5" s="26" t="s">
        <v>54</v>
      </c>
      <c r="DK5" s="26" t="s">
        <v>111</v>
      </c>
      <c r="DL5" s="26" t="s">
        <v>112</v>
      </c>
      <c r="DM5" s="27" t="s">
        <v>113</v>
      </c>
      <c r="DO5" s="33">
        <f t="shared" ref="DO5:DS5" si="1">IFERROR(AVERAGE(IFERROR(VALUE(C5),""),IFERROR(VALUE(H5),""),IFERROR(VALUE(M5),""),IFERROR(VALUE(R5),""),IFERROR(VALUE(W5),""),IFERROR(VALUE(AB5),"")),"")</f>
        <v>0.7245</v>
      </c>
      <c r="DP5" s="34">
        <f t="shared" si="1"/>
        <v>0.7386666667</v>
      </c>
      <c r="DQ5" s="35">
        <f t="shared" si="1"/>
        <v>0.612</v>
      </c>
      <c r="DR5" s="36">
        <f t="shared" si="1"/>
        <v>0.5038333333</v>
      </c>
      <c r="DS5" s="37">
        <f t="shared" si="1"/>
        <v>0.2546666667</v>
      </c>
      <c r="DT5" s="33">
        <f t="shared" ref="DT5:DV5" si="2">IFERROR(AVERAGE(IFERROR(VALUE(AG5),""),IFERROR(VALUE(AJ5),""),IFERROR(VALUE(AM5),""),IFERROR(VALUE(AP5),""),IFERROR(VALUE(AS5),"")),"")</f>
        <v>0.3392</v>
      </c>
      <c r="DU5" s="38">
        <f t="shared" si="2"/>
        <v>0.692</v>
      </c>
      <c r="DV5" s="39">
        <f t="shared" si="2"/>
        <v>0.6196</v>
      </c>
      <c r="DW5" s="34">
        <f t="shared" ref="DW5:DX5" si="3">IFERROR(AVERAGE(IFERROR(VALUE(AW5),""),IFERROR(VALUE(AZ5),""),IFERROR(VALUE(BC5),""),IFERROR(VALUE(BF5),""),IFERROR(VALUE(BI5),"")),"")</f>
        <v>0.6592</v>
      </c>
      <c r="DX5" s="440">
        <f t="shared" si="3"/>
        <v>0.7844</v>
      </c>
      <c r="DY5" s="19" t="str">
        <f t="shared" ref="DY5:DY17" si="10">IFERROR(AVERAGE(IFERROR(VALUE(BT5),""),IFERROR(VALUE(BY5),""),IFERROR(VALUE(CH5),"")),"")</f>
        <v/>
      </c>
      <c r="DZ5" s="41">
        <f t="shared" ref="DZ5:DZ17" si="11">IFERROR(AVERAGE(IFERROR(VALUE(BU5),""),IFERROR(VALUE(BZ5),""),IFERROR(VALUE(CD5),""),IFERROR(VALUE(CI5),""),IFERROR(VALUE(CM5),"")),"")</f>
        <v>0.7588126528</v>
      </c>
      <c r="EA5" s="237">
        <f t="shared" ref="EA5:EA17" si="12">IFERROR(AVERAGE(IFERROR(VALUE(BV5),""),IFERROR(VALUE(CA5),""),IFERROR(VALUE(CE5),""),IFERROR(VALUE(CJ5),""), IFERROR(VALUE(CN5),"")),"")</f>
        <v>0.7191513292</v>
      </c>
      <c r="EB5" s="42">
        <f t="shared" ref="EB5:EB17" si="13">IFERROR(AVERAGE(IFERROR(VALUE(BW5),""),IFERROR(VALUE(CB5),""),IFERROR(VALUE(CF5),""),IFERROR(VALUE(CK5),""),IFERROR(VALUE(CO5),"")),"")</f>
        <v>0.4824615951</v>
      </c>
      <c r="EC5" s="441">
        <f t="shared" ref="EC5:EC17" si="14">IFERROR(AVERAGE(IFERROR(VALUE(BX5),""),IFERROR(VALUE(CC5),""),IFERROR(VALUE(CG5),""),IFERROR(VALUE(CL5),""), IFERROR(VALUE(CP5),"")),"")</f>
        <v>0.269203793</v>
      </c>
      <c r="ED5" s="44">
        <f t="shared" ref="ED5:ED17" si="15">IFERROR(AVERAGE(IFERROR(VALUE(DI5),"")),"")</f>
        <v>0.963</v>
      </c>
      <c r="EE5" s="45">
        <f t="shared" ref="EE5:EF5" si="4">IFERROR(AVERAGE(IFERROR(VALUE(CQ5),""),IFERROR(VALUE(CW5),""),IFERROR(VALUE(DC5),""),IFERROR(VALUE(DJ5),"")),"")</f>
        <v>0.829</v>
      </c>
      <c r="EF5" s="46">
        <f t="shared" si="4"/>
        <v>0.916</v>
      </c>
      <c r="EG5" s="47">
        <f t="shared" ref="EG5:EH5" si="5">IFERROR(AVERAGE(IFERROR(VALUE(CU5),""),IFERROR(VALUE(DA5),""),IFERROR(VALUE(DG5),""),IFERROR(VALUE(DL5),"")),"")</f>
        <v>0.6395</v>
      </c>
      <c r="EH5" s="48">
        <f t="shared" si="5"/>
        <v>0.51175</v>
      </c>
      <c r="EI5" s="41">
        <f t="shared" ref="EI5:EJ5" si="6">IFERROR(AVERAGE(IFERROR(VALUE(CS5),""),IFERROR(VALUE(CY5),""),IFERROR(VALUE(DE5),"")),"")</f>
        <v>0.5433333333</v>
      </c>
      <c r="EJ5" s="442">
        <f t="shared" si="6"/>
        <v>0.1566666667</v>
      </c>
    </row>
    <row r="6">
      <c r="A6" s="52"/>
      <c r="B6" s="53" t="s">
        <v>114</v>
      </c>
      <c r="C6" s="25">
        <v>0.903</v>
      </c>
      <c r="D6" s="26" t="s">
        <v>115</v>
      </c>
      <c r="E6" s="26" t="s">
        <v>116</v>
      </c>
      <c r="F6" s="26" t="s">
        <v>117</v>
      </c>
      <c r="G6" s="26" t="s">
        <v>118</v>
      </c>
      <c r="H6" s="26">
        <v>0.359</v>
      </c>
      <c r="I6" s="26" t="s">
        <v>119</v>
      </c>
      <c r="J6" s="26" t="s">
        <v>120</v>
      </c>
      <c r="K6" s="26" t="s">
        <v>121</v>
      </c>
      <c r="L6" s="26" t="s">
        <v>122</v>
      </c>
      <c r="M6" s="26">
        <v>0.81</v>
      </c>
      <c r="N6" s="26" t="s">
        <v>62</v>
      </c>
      <c r="O6" s="26" t="s">
        <v>123</v>
      </c>
      <c r="P6" s="26" t="s">
        <v>121</v>
      </c>
      <c r="Q6" s="26" t="s">
        <v>122</v>
      </c>
      <c r="R6" s="26">
        <v>0.705</v>
      </c>
      <c r="S6" s="26" t="s">
        <v>124</v>
      </c>
      <c r="T6" s="26" t="s">
        <v>125</v>
      </c>
      <c r="U6" s="26" t="s">
        <v>126</v>
      </c>
      <c r="V6" s="26" t="s">
        <v>127</v>
      </c>
      <c r="W6" s="26">
        <v>0.935</v>
      </c>
      <c r="X6" s="26" t="s">
        <v>128</v>
      </c>
      <c r="Y6" s="26" t="s">
        <v>85</v>
      </c>
      <c r="Z6" s="26" t="s">
        <v>129</v>
      </c>
      <c r="AA6" s="26" t="s">
        <v>126</v>
      </c>
      <c r="AB6" s="26">
        <v>0.93</v>
      </c>
      <c r="AC6" s="26" t="s">
        <v>130</v>
      </c>
      <c r="AD6" s="26" t="s">
        <v>131</v>
      </c>
      <c r="AE6" s="26" t="s">
        <v>132</v>
      </c>
      <c r="AF6" s="27" t="s">
        <v>133</v>
      </c>
      <c r="AG6" s="26">
        <v>0.525</v>
      </c>
      <c r="AH6" s="26" t="s">
        <v>63</v>
      </c>
      <c r="AI6" s="26" t="s">
        <v>134</v>
      </c>
      <c r="AJ6" s="26">
        <v>0.11</v>
      </c>
      <c r="AK6" s="26" t="s">
        <v>135</v>
      </c>
      <c r="AL6" s="26" t="s">
        <v>136</v>
      </c>
      <c r="AM6" s="26">
        <v>0.544</v>
      </c>
      <c r="AN6" s="26" t="s">
        <v>137</v>
      </c>
      <c r="AO6" s="26" t="s">
        <v>138</v>
      </c>
      <c r="AP6" s="26">
        <v>0.351</v>
      </c>
      <c r="AQ6" s="26" t="s">
        <v>139</v>
      </c>
      <c r="AR6" s="26" t="s">
        <v>140</v>
      </c>
      <c r="AS6" s="26">
        <v>0.373</v>
      </c>
      <c r="AT6" s="26" t="s">
        <v>141</v>
      </c>
      <c r="AU6" s="26" t="s">
        <v>142</v>
      </c>
      <c r="AV6" s="25"/>
      <c r="AW6" s="26" t="s">
        <v>143</v>
      </c>
      <c r="AX6" s="26" t="s">
        <v>144</v>
      </c>
      <c r="AY6" s="26"/>
      <c r="AZ6" s="26" t="s">
        <v>94</v>
      </c>
      <c r="BA6" s="26" t="s">
        <v>145</v>
      </c>
      <c r="BB6" s="26"/>
      <c r="BC6" s="26" t="s">
        <v>146</v>
      </c>
      <c r="BD6" s="26" t="s">
        <v>147</v>
      </c>
      <c r="BE6" s="26"/>
      <c r="BF6" s="26" t="s">
        <v>148</v>
      </c>
      <c r="BG6" s="26" t="s">
        <v>128</v>
      </c>
      <c r="BH6" s="26"/>
      <c r="BI6" s="26" t="s">
        <v>149</v>
      </c>
      <c r="BJ6" s="26" t="s">
        <v>150</v>
      </c>
      <c r="BK6" s="26"/>
      <c r="BL6" s="26"/>
      <c r="BM6" s="26"/>
      <c r="BN6" s="26"/>
      <c r="BO6" s="26" t="s">
        <v>298</v>
      </c>
      <c r="BP6" s="26" t="s">
        <v>307</v>
      </c>
      <c r="BQ6" s="26"/>
      <c r="BR6" s="26"/>
      <c r="BS6" s="27"/>
      <c r="BT6" s="26">
        <v>0.907</v>
      </c>
      <c r="BU6" s="26" t="s">
        <v>151</v>
      </c>
      <c r="BV6" s="26" t="s">
        <v>140</v>
      </c>
      <c r="BW6" s="26" t="s">
        <v>152</v>
      </c>
      <c r="BX6" s="26" t="s">
        <v>153</v>
      </c>
      <c r="BY6" s="26">
        <v>0.872</v>
      </c>
      <c r="BZ6" s="26" t="s">
        <v>154</v>
      </c>
      <c r="CA6" s="26" t="s">
        <v>155</v>
      </c>
      <c r="CB6" s="26" t="s">
        <v>156</v>
      </c>
      <c r="CC6" s="26" t="s">
        <v>157</v>
      </c>
      <c r="CD6" s="26" t="s">
        <v>158</v>
      </c>
      <c r="CE6" s="26" t="s">
        <v>159</v>
      </c>
      <c r="CF6" s="26" t="s">
        <v>160</v>
      </c>
      <c r="CG6" s="26" t="s">
        <v>161</v>
      </c>
      <c r="CH6" s="4">
        <v>0.9534764826</v>
      </c>
      <c r="CI6" s="4">
        <v>0.8484262057</v>
      </c>
      <c r="CJ6" s="4">
        <v>0.9271472393</v>
      </c>
      <c r="CK6" s="4">
        <v>0.6531327392</v>
      </c>
      <c r="CL6" s="4">
        <v>0.3624503196</v>
      </c>
      <c r="CM6" s="144">
        <v>0.697</v>
      </c>
      <c r="CN6" s="144">
        <v>0.753</v>
      </c>
      <c r="CO6" s="144">
        <v>0.409</v>
      </c>
      <c r="CP6" s="144">
        <v>0.153</v>
      </c>
      <c r="CQ6" s="25" t="s">
        <v>735</v>
      </c>
      <c r="CR6" s="26" t="s">
        <v>465</v>
      </c>
      <c r="CS6" s="26" t="s">
        <v>398</v>
      </c>
      <c r="CT6" s="26" t="s">
        <v>426</v>
      </c>
      <c r="CU6" s="26" t="s">
        <v>531</v>
      </c>
      <c r="CV6" s="26" t="s">
        <v>736</v>
      </c>
      <c r="CW6" s="26" t="s">
        <v>610</v>
      </c>
      <c r="CX6" s="26" t="s">
        <v>737</v>
      </c>
      <c r="CY6" s="26" t="s">
        <v>443</v>
      </c>
      <c r="CZ6" s="26" t="s">
        <v>405</v>
      </c>
      <c r="DA6" s="26" t="s">
        <v>431</v>
      </c>
      <c r="DB6" s="26" t="s">
        <v>243</v>
      </c>
      <c r="DC6" s="26" t="s">
        <v>403</v>
      </c>
      <c r="DD6" s="26" t="s">
        <v>302</v>
      </c>
      <c r="DE6" s="26" t="s">
        <v>356</v>
      </c>
      <c r="DF6" s="26" t="s">
        <v>738</v>
      </c>
      <c r="DG6" s="26" t="s">
        <v>647</v>
      </c>
      <c r="DH6" s="26" t="s">
        <v>684</v>
      </c>
      <c r="DI6" s="26">
        <v>0.985</v>
      </c>
      <c r="DJ6" s="26" t="s">
        <v>162</v>
      </c>
      <c r="DK6" s="26" t="s">
        <v>163</v>
      </c>
      <c r="DL6" s="26" t="s">
        <v>164</v>
      </c>
      <c r="DM6" s="27" t="s">
        <v>165</v>
      </c>
      <c r="DO6" s="54">
        <f t="shared" ref="DO6:DS6" si="7">IFERROR(AVERAGE(IFERROR(VALUE(C6),""),IFERROR(VALUE(H6),""),IFERROR(VALUE(M6),""),IFERROR(VALUE(R6),""),IFERROR(VALUE(W6),""),IFERROR(VALUE(AB6),"")),"")</f>
        <v>0.7736666667</v>
      </c>
      <c r="DP6" s="38">
        <f t="shared" si="7"/>
        <v>0.7341666667</v>
      </c>
      <c r="DQ6" s="55">
        <f t="shared" si="7"/>
        <v>0.6465</v>
      </c>
      <c r="DR6" s="56">
        <f t="shared" si="7"/>
        <v>0.5421666667</v>
      </c>
      <c r="DS6" s="57">
        <f t="shared" si="7"/>
        <v>0.2046666667</v>
      </c>
      <c r="DT6" s="58">
        <f t="shared" ref="DT6:DV6" si="8">IFERROR(AVERAGE(IFERROR(VALUE(AG6),""),IFERROR(VALUE(AJ6),""),IFERROR(VALUE(AM6),""),IFERROR(VALUE(AP6),""),IFERROR(VALUE(AS6),"")),"")</f>
        <v>0.3806</v>
      </c>
      <c r="DU6" s="59">
        <f t="shared" si="8"/>
        <v>0.7216</v>
      </c>
      <c r="DV6" s="60">
        <f t="shared" si="8"/>
        <v>0.6542</v>
      </c>
      <c r="DW6" s="443">
        <f t="shared" ref="DW6:DX6" si="9">IFERROR(AVERAGE(IFERROR(VALUE(AW6),""),IFERROR(VALUE(AZ6),""),IFERROR(VALUE(BC6),""),IFERROR(VALUE(BF6),""),IFERROR(VALUE(BI6),"")),"")</f>
        <v>0.6598</v>
      </c>
      <c r="DX6" s="444">
        <f t="shared" si="9"/>
        <v>0.8034</v>
      </c>
      <c r="DY6" s="307">
        <f t="shared" si="10"/>
        <v>0.9108254942</v>
      </c>
      <c r="DZ6" s="41">
        <f t="shared" si="11"/>
        <v>0.7822852411</v>
      </c>
      <c r="EA6" s="237">
        <f t="shared" si="12"/>
        <v>0.7736294479</v>
      </c>
      <c r="EB6" s="42">
        <f t="shared" si="13"/>
        <v>0.5062265478</v>
      </c>
      <c r="EC6" s="441">
        <f t="shared" si="14"/>
        <v>0.2638900639</v>
      </c>
      <c r="ED6" s="65">
        <f t="shared" si="15"/>
        <v>0.985</v>
      </c>
      <c r="EE6" s="66">
        <f t="shared" ref="EE6:EF6" si="16">IFERROR(AVERAGE(IFERROR(VALUE(CQ6),""),IFERROR(VALUE(CW6),""),IFERROR(VALUE(DC6),""),IFERROR(VALUE(DJ6),"")),"")</f>
        <v>0.88125</v>
      </c>
      <c r="EF6" s="67">
        <f t="shared" si="16"/>
        <v>0.95725</v>
      </c>
      <c r="EG6" s="68">
        <f t="shared" ref="EG6:EH6" si="17">IFERROR(AVERAGE(IFERROR(VALUE(CU6),""),IFERROR(VALUE(DA6),""),IFERROR(VALUE(DG6),""),IFERROR(VALUE(DL6),"")),"")</f>
        <v>0.77575</v>
      </c>
      <c r="EH6" s="69">
        <f t="shared" si="17"/>
        <v>0.679</v>
      </c>
      <c r="EI6" s="36">
        <f t="shared" ref="EI6:EJ6" si="18">IFERROR(AVERAGE(IFERROR(VALUE(CS6),""),IFERROR(VALUE(CY6),""),IFERROR(VALUE(DE6),"")),"")</f>
        <v>0.5736666667</v>
      </c>
      <c r="EJ6" s="57">
        <f t="shared" si="18"/>
        <v>0.1533333333</v>
      </c>
    </row>
    <row r="7" hidden="1">
      <c r="A7" s="52"/>
      <c r="B7" s="53" t="s">
        <v>696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 t="s">
        <v>484</v>
      </c>
      <c r="O7" s="26" t="s">
        <v>268</v>
      </c>
      <c r="P7" s="26" t="s">
        <v>206</v>
      </c>
      <c r="Q7" s="26" t="s">
        <v>296</v>
      </c>
      <c r="R7" s="26"/>
      <c r="S7" s="26" t="s">
        <v>437</v>
      </c>
      <c r="T7" s="26" t="s">
        <v>697</v>
      </c>
      <c r="U7" s="26"/>
      <c r="V7" s="26"/>
      <c r="W7" s="26"/>
      <c r="X7" s="26" t="s">
        <v>698</v>
      </c>
      <c r="Y7" s="26" t="s">
        <v>363</v>
      </c>
      <c r="Z7" s="26"/>
      <c r="AA7" s="26"/>
      <c r="AB7" s="26">
        <v>0.91</v>
      </c>
      <c r="AC7" s="26" t="s">
        <v>316</v>
      </c>
      <c r="AD7" s="26" t="s">
        <v>317</v>
      </c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5"/>
      <c r="AW7" s="26" t="s">
        <v>642</v>
      </c>
      <c r="AX7" s="26" t="s">
        <v>699</v>
      </c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7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4"/>
      <c r="CI7" s="4"/>
      <c r="CJ7" s="4"/>
      <c r="CK7" s="4"/>
      <c r="CL7" s="4"/>
      <c r="CM7" s="4"/>
      <c r="CN7" s="4"/>
      <c r="CO7" s="4"/>
      <c r="CP7" s="4"/>
      <c r="CQ7" s="25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7"/>
      <c r="DO7" s="381">
        <f t="shared" ref="DO7:DS7" si="19">IFERROR(AVERAGE(IFERROR(VALUE(C7),""),IFERROR(VALUE(H7),""),IFERROR(VALUE(M7),""),IFERROR(VALUE(R7),""),IFERROR(VALUE(W7),""),IFERROR(VALUE(AB7),"")),"")</f>
        <v>0.1516666667</v>
      </c>
      <c r="DP7" s="382">
        <f t="shared" si="19"/>
        <v>0.4703333333</v>
      </c>
      <c r="DQ7" s="88">
        <f t="shared" si="19"/>
        <v>0.4284166667</v>
      </c>
      <c r="DR7" s="383">
        <f t="shared" si="19"/>
        <v>0.0775</v>
      </c>
      <c r="DS7" s="384">
        <f t="shared" si="19"/>
        <v>0.04216666667</v>
      </c>
      <c r="DT7" s="385">
        <f t="shared" ref="DT7:DV7" si="20">IFERROR(AVERAGE(IFERROR(VALUE(AG7),""),IFERROR(VALUE(AJ7),""),IFERROR(VALUE(AM7),""),IFERROR(VALUE(AP7),""),IFERROR(VALUE(AS7),"")),"")</f>
        <v>0</v>
      </c>
      <c r="DU7" s="386">
        <f t="shared" si="20"/>
        <v>0</v>
      </c>
      <c r="DV7" s="387">
        <f t="shared" si="20"/>
        <v>0</v>
      </c>
      <c r="DW7" s="445">
        <f t="shared" ref="DW7:DX7" si="21">IFERROR(AVERAGE(IFERROR(VALUE(AW7),""),IFERROR(VALUE(AZ7),""),IFERROR(VALUE(BC7),""),IFERROR(VALUE(BF7),""),IFERROR(VALUE(BI7),"")),"")</f>
        <v>0.1376</v>
      </c>
      <c r="DX7" s="446">
        <f t="shared" si="21"/>
        <v>0.1958</v>
      </c>
      <c r="DY7" s="385">
        <f t="shared" si="10"/>
        <v>0</v>
      </c>
      <c r="DZ7" s="41">
        <f t="shared" si="11"/>
        <v>0</v>
      </c>
      <c r="EA7" s="237">
        <f t="shared" si="12"/>
        <v>0</v>
      </c>
      <c r="EB7" s="42">
        <f t="shared" si="13"/>
        <v>0</v>
      </c>
      <c r="EC7" s="441">
        <f t="shared" si="14"/>
        <v>0</v>
      </c>
      <c r="ED7" s="385">
        <f t="shared" si="15"/>
        <v>0</v>
      </c>
      <c r="EE7" s="386">
        <f t="shared" ref="EE7:EF7" si="22">IFERROR(AVERAGE(IFERROR(VALUE(CQ7),""),IFERROR(VALUE(CW7),""),IFERROR(VALUE(DC7),""),IFERROR(VALUE(DJ7),"")),"")</f>
        <v>0</v>
      </c>
      <c r="EF7" s="386">
        <f t="shared" si="22"/>
        <v>0</v>
      </c>
      <c r="EG7" s="386">
        <f t="shared" ref="EG7:EH7" si="23">IFERROR(AVERAGE(IFERROR(VALUE(CU7),""),IFERROR(VALUE(DA7),""),IFERROR(VALUE(DG7),""),IFERROR(VALUE(DL7),"")),"")</f>
        <v>0</v>
      </c>
      <c r="EH7" s="386">
        <f t="shared" si="23"/>
        <v>0</v>
      </c>
      <c r="EI7" s="386">
        <f t="shared" ref="EI7:EJ7" si="24">IFERROR(AVERAGE(IFERROR(VALUE(CS7),""),IFERROR(VALUE(CY7),""),IFERROR(VALUE(DE7),"")),"")</f>
        <v>0</v>
      </c>
      <c r="EJ7" s="387">
        <f t="shared" si="24"/>
        <v>0</v>
      </c>
    </row>
    <row r="8" hidden="1">
      <c r="A8" s="52"/>
      <c r="B8" s="53" t="s">
        <v>700</v>
      </c>
      <c r="C8" s="25">
        <v>0.888</v>
      </c>
      <c r="D8" s="26"/>
      <c r="E8" s="26"/>
      <c r="F8" s="26"/>
      <c r="G8" s="26"/>
      <c r="H8" s="26">
        <v>0.456</v>
      </c>
      <c r="I8" s="26" t="s">
        <v>701</v>
      </c>
      <c r="J8" s="26" t="s">
        <v>499</v>
      </c>
      <c r="K8" s="26"/>
      <c r="L8" s="26"/>
      <c r="M8" s="26">
        <v>0.829</v>
      </c>
      <c r="N8" s="26" t="s">
        <v>702</v>
      </c>
      <c r="O8" s="26" t="s">
        <v>474</v>
      </c>
      <c r="P8" s="26"/>
      <c r="Q8" s="26"/>
      <c r="R8" s="26">
        <v>0.732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 t="s">
        <v>615</v>
      </c>
      <c r="AD8" s="26" t="s">
        <v>642</v>
      </c>
      <c r="AE8" s="26" t="s">
        <v>679</v>
      </c>
      <c r="AF8" s="27" t="s">
        <v>518</v>
      </c>
      <c r="AG8" s="26">
        <v>0.571</v>
      </c>
      <c r="AH8" s="26" t="s">
        <v>627</v>
      </c>
      <c r="AI8" s="26" t="s">
        <v>393</v>
      </c>
      <c r="AJ8" s="26">
        <v>0.118</v>
      </c>
      <c r="AK8" s="26" t="s">
        <v>326</v>
      </c>
      <c r="AL8" s="26" t="s">
        <v>371</v>
      </c>
      <c r="AM8" s="26"/>
      <c r="AN8" s="26"/>
      <c r="AO8" s="26"/>
      <c r="AP8" s="26"/>
      <c r="AQ8" s="26"/>
      <c r="AR8" s="26"/>
      <c r="AS8" s="26"/>
      <c r="AT8" s="26"/>
      <c r="AU8" s="26"/>
      <c r="AV8" s="25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7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4"/>
      <c r="CI8" s="4"/>
      <c r="CJ8" s="4"/>
      <c r="CK8" s="4"/>
      <c r="CL8" s="4"/>
      <c r="CM8" s="4"/>
      <c r="CN8" s="4"/>
      <c r="CO8" s="4"/>
      <c r="CP8" s="4"/>
      <c r="CQ8" s="25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7"/>
      <c r="DO8" s="388">
        <f t="shared" ref="DO8:DS8" si="25">IFERROR(AVERAGE(IFERROR(VALUE(C8),""),IFERROR(VALUE(H8),""),IFERROR(VALUE(M8),""),IFERROR(VALUE(R8),""),IFERROR(VALUE(W8),""),IFERROR(VALUE(AB8),"")),"")</f>
        <v>0.4841666667</v>
      </c>
      <c r="DP8" s="389">
        <f t="shared" si="25"/>
        <v>0.3563333333</v>
      </c>
      <c r="DQ8" s="390">
        <f t="shared" si="25"/>
        <v>0.2728333333</v>
      </c>
      <c r="DR8" s="391">
        <f t="shared" si="25"/>
        <v>0.1135</v>
      </c>
      <c r="DS8" s="392">
        <f t="shared" si="25"/>
        <v>0.04133333333</v>
      </c>
      <c r="DT8" s="393">
        <f t="shared" ref="DT8:DV8" si="26">IFERROR(AVERAGE(IFERROR(VALUE(AG8),""),IFERROR(VALUE(AJ8),""),IFERROR(VALUE(AM8),""),IFERROR(VALUE(AP8),""),IFERROR(VALUE(AS8),"")),"")</f>
        <v>0.1378</v>
      </c>
      <c r="DU8" s="394">
        <f t="shared" si="26"/>
        <v>0.2692</v>
      </c>
      <c r="DV8" s="395">
        <f t="shared" si="26"/>
        <v>0.2474</v>
      </c>
      <c r="DW8" s="386">
        <f t="shared" ref="DW8:DX8" si="27">IFERROR(AVERAGE(IFERROR(VALUE(AW8),""),IFERROR(VALUE(AZ8),""),IFERROR(VALUE(BC8),""),IFERROR(VALUE(BF8),""),IFERROR(VALUE(BI8),"")),"")</f>
        <v>0</v>
      </c>
      <c r="DX8" s="387">
        <f t="shared" si="27"/>
        <v>0</v>
      </c>
      <c r="DY8" s="385">
        <f t="shared" si="10"/>
        <v>0</v>
      </c>
      <c r="DZ8" s="41">
        <f t="shared" si="11"/>
        <v>0</v>
      </c>
      <c r="EA8" s="237">
        <f t="shared" si="12"/>
        <v>0</v>
      </c>
      <c r="EB8" s="42">
        <f t="shared" si="13"/>
        <v>0</v>
      </c>
      <c r="EC8" s="441">
        <f t="shared" si="14"/>
        <v>0</v>
      </c>
      <c r="ED8" s="385">
        <f t="shared" si="15"/>
        <v>0</v>
      </c>
      <c r="EE8" s="386">
        <f t="shared" ref="EE8:EF8" si="28">IFERROR(AVERAGE(IFERROR(VALUE(CQ8),""),IFERROR(VALUE(CW8),""),IFERROR(VALUE(DC8),""),IFERROR(VALUE(DJ8),"")),"")</f>
        <v>0</v>
      </c>
      <c r="EF8" s="386">
        <f t="shared" si="28"/>
        <v>0</v>
      </c>
      <c r="EG8" s="386">
        <f t="shared" ref="EG8:EH8" si="29">IFERROR(AVERAGE(IFERROR(VALUE(CU8),""),IFERROR(VALUE(DA8),""),IFERROR(VALUE(DG8),""),IFERROR(VALUE(DL8),"")),"")</f>
        <v>0</v>
      </c>
      <c r="EH8" s="386">
        <f t="shared" si="29"/>
        <v>0</v>
      </c>
      <c r="EI8" s="386">
        <f t="shared" ref="EI8:EJ8" si="30">IFERROR(AVERAGE(IFERROR(VALUE(CS8),""),IFERROR(VALUE(CY8),""),IFERROR(VALUE(DE8),"")),"")</f>
        <v>0</v>
      </c>
      <c r="EJ8" s="387">
        <f t="shared" si="30"/>
        <v>0</v>
      </c>
    </row>
    <row r="9">
      <c r="A9" s="52"/>
      <c r="B9" s="53" t="s">
        <v>166</v>
      </c>
      <c r="C9" s="25">
        <v>0.85</v>
      </c>
      <c r="D9" s="26" t="s">
        <v>167</v>
      </c>
      <c r="E9" s="26" t="s">
        <v>168</v>
      </c>
      <c r="F9" s="26" t="s">
        <v>169</v>
      </c>
      <c r="G9" s="26" t="s">
        <v>170</v>
      </c>
      <c r="H9" s="26">
        <v>0.247</v>
      </c>
      <c r="I9" s="26" t="s">
        <v>171</v>
      </c>
      <c r="J9" s="26" t="s">
        <v>172</v>
      </c>
      <c r="K9" s="26" t="s">
        <v>173</v>
      </c>
      <c r="L9" s="26" t="s">
        <v>174</v>
      </c>
      <c r="M9" s="26">
        <v>0.778</v>
      </c>
      <c r="N9" s="26" t="s">
        <v>175</v>
      </c>
      <c r="O9" s="26" t="s">
        <v>176</v>
      </c>
      <c r="P9" s="26" t="s">
        <v>177</v>
      </c>
      <c r="Q9" s="26" t="s">
        <v>178</v>
      </c>
      <c r="R9" s="26">
        <v>0.635</v>
      </c>
      <c r="S9" s="26" t="s">
        <v>179</v>
      </c>
      <c r="T9" s="26" t="s">
        <v>180</v>
      </c>
      <c r="U9" s="26" t="s">
        <v>73</v>
      </c>
      <c r="V9" s="26" t="s">
        <v>181</v>
      </c>
      <c r="W9" s="26">
        <v>0.705</v>
      </c>
      <c r="X9" s="26" t="s">
        <v>169</v>
      </c>
      <c r="Y9" s="26" t="s">
        <v>182</v>
      </c>
      <c r="Z9" s="26" t="s">
        <v>183</v>
      </c>
      <c r="AA9" s="26" t="s">
        <v>184</v>
      </c>
      <c r="AB9" s="26">
        <v>0.858</v>
      </c>
      <c r="AC9" s="26" t="s">
        <v>185</v>
      </c>
      <c r="AD9" s="26" t="s">
        <v>186</v>
      </c>
      <c r="AE9" s="26" t="s">
        <v>187</v>
      </c>
      <c r="AF9" s="27" t="s">
        <v>188</v>
      </c>
      <c r="AG9" s="26">
        <v>0.403</v>
      </c>
      <c r="AH9" s="26" t="s">
        <v>189</v>
      </c>
      <c r="AI9" s="26" t="s">
        <v>190</v>
      </c>
      <c r="AJ9" s="26">
        <v>0.077</v>
      </c>
      <c r="AK9" s="26" t="s">
        <v>191</v>
      </c>
      <c r="AL9" s="26" t="s">
        <v>192</v>
      </c>
      <c r="AM9" s="26">
        <v>0.475</v>
      </c>
      <c r="AN9" s="26" t="s">
        <v>121</v>
      </c>
      <c r="AO9" s="26" t="s">
        <v>193</v>
      </c>
      <c r="AP9" s="26">
        <v>0.041</v>
      </c>
      <c r="AQ9" s="26" t="s">
        <v>194</v>
      </c>
      <c r="AR9" s="26" t="s">
        <v>96</v>
      </c>
      <c r="AS9" s="26">
        <v>0.265</v>
      </c>
      <c r="AT9" s="26" t="s">
        <v>190</v>
      </c>
      <c r="AU9" s="26" t="s">
        <v>195</v>
      </c>
      <c r="AV9" s="25"/>
      <c r="AW9" s="26" t="s">
        <v>196</v>
      </c>
      <c r="AX9" s="26" t="s">
        <v>197</v>
      </c>
      <c r="AY9" s="26"/>
      <c r="AZ9" s="26" t="s">
        <v>198</v>
      </c>
      <c r="BA9" s="26" t="s">
        <v>199</v>
      </c>
      <c r="BB9" s="26"/>
      <c r="BC9" s="26" t="s">
        <v>200</v>
      </c>
      <c r="BD9" s="26" t="s">
        <v>201</v>
      </c>
      <c r="BE9" s="26"/>
      <c r="BF9" s="26" t="s">
        <v>137</v>
      </c>
      <c r="BG9" s="26" t="s">
        <v>121</v>
      </c>
      <c r="BH9" s="26"/>
      <c r="BI9" s="26" t="s">
        <v>202</v>
      </c>
      <c r="BJ9" s="26" t="s">
        <v>203</v>
      </c>
      <c r="BK9" s="26"/>
      <c r="BL9" s="26"/>
      <c r="BM9" s="26"/>
      <c r="BN9" s="26"/>
      <c r="BO9" s="26"/>
      <c r="BP9" s="26"/>
      <c r="BQ9" s="26"/>
      <c r="BR9" s="26"/>
      <c r="BS9" s="27"/>
      <c r="BT9" s="26">
        <v>0.545</v>
      </c>
      <c r="BU9" s="26" t="s">
        <v>204</v>
      </c>
      <c r="BV9" s="26" t="s">
        <v>205</v>
      </c>
      <c r="BW9" s="26" t="s">
        <v>206</v>
      </c>
      <c r="BX9" s="26" t="s">
        <v>207</v>
      </c>
      <c r="BY9" s="26">
        <v>0.784</v>
      </c>
      <c r="BZ9" s="26" t="s">
        <v>208</v>
      </c>
      <c r="CA9" s="26" t="s">
        <v>131</v>
      </c>
      <c r="CB9" s="26" t="s">
        <v>209</v>
      </c>
      <c r="CC9" s="26" t="s">
        <v>210</v>
      </c>
      <c r="CD9" s="26" t="s">
        <v>204</v>
      </c>
      <c r="CE9" s="26" t="s">
        <v>211</v>
      </c>
      <c r="CF9" s="26" t="s">
        <v>212</v>
      </c>
      <c r="CG9" s="26" t="s">
        <v>213</v>
      </c>
      <c r="CH9" s="4">
        <v>0.976993865</v>
      </c>
      <c r="CI9" s="4">
        <v>0.9736681475</v>
      </c>
      <c r="CJ9" s="4">
        <v>0.9915644172</v>
      </c>
      <c r="CK9" s="4">
        <v>0.870514462</v>
      </c>
      <c r="CL9" s="4">
        <v>0.6606112545</v>
      </c>
      <c r="CM9" s="144">
        <v>0.626</v>
      </c>
      <c r="CN9" s="144">
        <v>0.63</v>
      </c>
      <c r="CO9" s="224">
        <v>0.265</v>
      </c>
      <c r="CP9" s="144">
        <v>0.072</v>
      </c>
      <c r="CQ9" s="25" t="s">
        <v>385</v>
      </c>
      <c r="CR9" s="26" t="s">
        <v>556</v>
      </c>
      <c r="CS9" s="26" t="s">
        <v>533</v>
      </c>
      <c r="CT9" s="26" t="s">
        <v>739</v>
      </c>
      <c r="CU9" s="26" t="s">
        <v>595</v>
      </c>
      <c r="CV9" s="26" t="s">
        <v>740</v>
      </c>
      <c r="CW9" s="26" t="s">
        <v>531</v>
      </c>
      <c r="CX9" s="26" t="s">
        <v>630</v>
      </c>
      <c r="CY9" s="26" t="s">
        <v>119</v>
      </c>
      <c r="CZ9" s="26" t="s">
        <v>342</v>
      </c>
      <c r="DA9" s="26" t="s">
        <v>741</v>
      </c>
      <c r="DB9" s="26" t="s">
        <v>742</v>
      </c>
      <c r="DC9" s="26" t="s">
        <v>590</v>
      </c>
      <c r="DD9" s="26" t="s">
        <v>162</v>
      </c>
      <c r="DE9" s="26" t="s">
        <v>522</v>
      </c>
      <c r="DF9" s="26" t="s">
        <v>743</v>
      </c>
      <c r="DG9" s="26" t="s">
        <v>744</v>
      </c>
      <c r="DH9" s="26" t="s">
        <v>408</v>
      </c>
      <c r="DI9" s="26">
        <v>0.872</v>
      </c>
      <c r="DJ9" s="26" t="s">
        <v>214</v>
      </c>
      <c r="DK9" s="26" t="s">
        <v>215</v>
      </c>
      <c r="DL9" s="26" t="s">
        <v>216</v>
      </c>
      <c r="DM9" s="27" t="s">
        <v>217</v>
      </c>
      <c r="DO9" s="73">
        <f t="shared" ref="DO9:DS9" si="31">IFERROR(AVERAGE(IFERROR(VALUE(C9),""),IFERROR(VALUE(H9),""),IFERROR(VALUE(M9),""),IFERROR(VALUE(R9),""),IFERROR(VALUE(W9),""),IFERROR(VALUE(AB9),"")),"")</f>
        <v>0.6788333333</v>
      </c>
      <c r="DP9" s="74">
        <f t="shared" si="31"/>
        <v>0.6746666667</v>
      </c>
      <c r="DQ9" s="75">
        <f t="shared" si="31"/>
        <v>0.5308333333</v>
      </c>
      <c r="DR9" s="76">
        <f t="shared" si="31"/>
        <v>0.4238333333</v>
      </c>
      <c r="DS9" s="77">
        <f t="shared" si="31"/>
        <v>0.1361666667</v>
      </c>
      <c r="DT9" s="78">
        <f t="shared" ref="DT9:DV9" si="32">IFERROR(AVERAGE(IFERROR(VALUE(AG9),""),IFERROR(VALUE(AJ9),""),IFERROR(VALUE(AM9),""),IFERROR(VALUE(AP9),""),IFERROR(VALUE(AS9),"")),"")</f>
        <v>0.2522</v>
      </c>
      <c r="DU9" s="38">
        <f t="shared" si="32"/>
        <v>0.692</v>
      </c>
      <c r="DV9" s="79">
        <f t="shared" si="32"/>
        <v>0.6118</v>
      </c>
      <c r="DW9" s="80">
        <f t="shared" ref="DW9:DX9" si="33">IFERROR(AVERAGE(IFERROR(VALUE(AW9),""),IFERROR(VALUE(AZ9),""),IFERROR(VALUE(BC9),""),IFERROR(VALUE(BF9),""),IFERROR(VALUE(BI9),"")),"")</f>
        <v>0.6332</v>
      </c>
      <c r="DX9" s="151">
        <f t="shared" si="33"/>
        <v>0.7404</v>
      </c>
      <c r="DY9" s="86">
        <f t="shared" si="10"/>
        <v>0.7686646217</v>
      </c>
      <c r="DZ9" s="41">
        <f t="shared" si="11"/>
        <v>0.7719336295</v>
      </c>
      <c r="EA9" s="237">
        <f t="shared" si="12"/>
        <v>0.7765128834</v>
      </c>
      <c r="EB9" s="42">
        <f t="shared" si="13"/>
        <v>0.4669028924</v>
      </c>
      <c r="EC9" s="441">
        <f t="shared" si="14"/>
        <v>0.2405222509</v>
      </c>
      <c r="ED9" s="86">
        <f t="shared" si="15"/>
        <v>0.872</v>
      </c>
      <c r="EE9" s="80">
        <f t="shared" ref="EE9:EF9" si="34">IFERROR(AVERAGE(IFERROR(VALUE(CQ9),""),IFERROR(VALUE(CW9),""),IFERROR(VALUE(DC9),""),IFERROR(VALUE(DJ9),"")),"")</f>
        <v>0.7455</v>
      </c>
      <c r="EF9" s="42">
        <f t="shared" si="34"/>
        <v>0.865</v>
      </c>
      <c r="EG9" s="87">
        <f t="shared" ref="EG9:EH9" si="35">IFERROR(AVERAGE(IFERROR(VALUE(CU9),""),IFERROR(VALUE(DA9),""),IFERROR(VALUE(DG9),""),IFERROR(VALUE(DL9),"")),"")</f>
        <v>0.41325</v>
      </c>
      <c r="EH9" s="88">
        <f t="shared" si="35"/>
        <v>0.2535</v>
      </c>
      <c r="EI9" s="34">
        <f t="shared" ref="EI9:EJ9" si="36">IFERROR(AVERAGE(IFERROR(VALUE(CS9),""),IFERROR(VALUE(CY9),""),IFERROR(VALUE(DE9),"")),"")</f>
        <v>0.5623333333</v>
      </c>
      <c r="EJ9" s="447">
        <f t="shared" si="36"/>
        <v>0.138</v>
      </c>
    </row>
    <row r="10">
      <c r="A10" s="52"/>
      <c r="B10" s="53" t="s">
        <v>218</v>
      </c>
      <c r="C10" s="25">
        <v>0.867</v>
      </c>
      <c r="D10" s="26" t="s">
        <v>219</v>
      </c>
      <c r="E10" s="26" t="s">
        <v>62</v>
      </c>
      <c r="F10" s="26" t="s">
        <v>220</v>
      </c>
      <c r="G10" s="26" t="s">
        <v>221</v>
      </c>
      <c r="H10" s="26">
        <v>0.388</v>
      </c>
      <c r="I10" s="26" t="s">
        <v>222</v>
      </c>
      <c r="J10" s="26" t="s">
        <v>223</v>
      </c>
      <c r="K10" s="26" t="s">
        <v>224</v>
      </c>
      <c r="L10" s="26" t="s">
        <v>225</v>
      </c>
      <c r="M10" s="26">
        <v>0.782</v>
      </c>
      <c r="N10" s="26" t="s">
        <v>139</v>
      </c>
      <c r="O10" s="26" t="s">
        <v>85</v>
      </c>
      <c r="P10" s="26" t="s">
        <v>136</v>
      </c>
      <c r="Q10" s="26" t="s">
        <v>226</v>
      </c>
      <c r="R10" s="26">
        <v>0.654</v>
      </c>
      <c r="S10" s="26" t="s">
        <v>189</v>
      </c>
      <c r="T10" s="26" t="s">
        <v>227</v>
      </c>
      <c r="U10" s="26" t="s">
        <v>170</v>
      </c>
      <c r="V10" s="26" t="s">
        <v>228</v>
      </c>
      <c r="W10" s="26">
        <v>0.899</v>
      </c>
      <c r="X10" s="26" t="s">
        <v>229</v>
      </c>
      <c r="Y10" s="26" t="s">
        <v>71</v>
      </c>
      <c r="Z10" s="26" t="s">
        <v>170</v>
      </c>
      <c r="AA10" s="26" t="s">
        <v>228</v>
      </c>
      <c r="AB10" s="26">
        <v>0.958</v>
      </c>
      <c r="AC10" s="26" t="s">
        <v>230</v>
      </c>
      <c r="AD10" s="26" t="s">
        <v>75</v>
      </c>
      <c r="AE10" s="26" t="s">
        <v>134</v>
      </c>
      <c r="AF10" s="27" t="s">
        <v>231</v>
      </c>
      <c r="AG10" s="26">
        <v>0.467</v>
      </c>
      <c r="AH10" s="26" t="s">
        <v>168</v>
      </c>
      <c r="AI10" s="26" t="s">
        <v>232</v>
      </c>
      <c r="AJ10" s="26">
        <v>0.106</v>
      </c>
      <c r="AK10" s="26" t="s">
        <v>233</v>
      </c>
      <c r="AL10" s="26" t="s">
        <v>234</v>
      </c>
      <c r="AM10" s="26">
        <v>0.541</v>
      </c>
      <c r="AN10" s="26" t="s">
        <v>82</v>
      </c>
      <c r="AO10" s="26" t="s">
        <v>83</v>
      </c>
      <c r="AP10" s="26">
        <v>0.247</v>
      </c>
      <c r="AQ10" s="26" t="s">
        <v>235</v>
      </c>
      <c r="AR10" s="26" t="s">
        <v>236</v>
      </c>
      <c r="AS10" s="26">
        <v>0.43</v>
      </c>
      <c r="AT10" s="26" t="s">
        <v>237</v>
      </c>
      <c r="AU10" s="26" t="s">
        <v>238</v>
      </c>
      <c r="AV10" s="25"/>
      <c r="AW10" s="26" t="s">
        <v>94</v>
      </c>
      <c r="AX10" s="26" t="s">
        <v>239</v>
      </c>
      <c r="AY10" s="26"/>
      <c r="AZ10" s="26" t="s">
        <v>240</v>
      </c>
      <c r="BA10" s="26" t="s">
        <v>241</v>
      </c>
      <c r="BB10" s="26"/>
      <c r="BC10" s="26" t="s">
        <v>242</v>
      </c>
      <c r="BD10" s="26" t="s">
        <v>243</v>
      </c>
      <c r="BE10" s="26"/>
      <c r="BF10" s="26" t="s">
        <v>103</v>
      </c>
      <c r="BG10" s="26" t="s">
        <v>117</v>
      </c>
      <c r="BH10" s="26"/>
      <c r="BI10" s="26" t="s">
        <v>169</v>
      </c>
      <c r="BJ10" s="26" t="s">
        <v>244</v>
      </c>
      <c r="BK10" s="26"/>
      <c r="BL10" s="26"/>
      <c r="BM10" s="26"/>
      <c r="BN10" s="26"/>
      <c r="BO10" s="26"/>
      <c r="BP10" s="26"/>
      <c r="BQ10" s="26"/>
      <c r="BR10" s="26"/>
      <c r="BS10" s="27"/>
      <c r="BT10" s="26" t="s">
        <v>245</v>
      </c>
      <c r="BU10" s="26" t="s">
        <v>246</v>
      </c>
      <c r="BV10" s="26" t="s">
        <v>247</v>
      </c>
      <c r="BW10" s="26" t="s">
        <v>248</v>
      </c>
      <c r="BX10" s="26" t="s">
        <v>249</v>
      </c>
      <c r="BY10" s="26" t="s">
        <v>250</v>
      </c>
      <c r="BZ10" s="26" t="s">
        <v>150</v>
      </c>
      <c r="CA10" s="26" t="s">
        <v>251</v>
      </c>
      <c r="CB10" s="26" t="s">
        <v>252</v>
      </c>
      <c r="CC10" s="26" t="s">
        <v>253</v>
      </c>
      <c r="CD10" s="26" t="s">
        <v>254</v>
      </c>
      <c r="CE10" s="26" t="s">
        <v>255</v>
      </c>
      <c r="CF10" s="26" t="s">
        <v>256</v>
      </c>
      <c r="CG10" s="26" t="s">
        <v>257</v>
      </c>
      <c r="CH10" s="4">
        <v>0.9946319018</v>
      </c>
      <c r="CI10" s="4">
        <v>0.9840461934</v>
      </c>
      <c r="CJ10" s="4">
        <v>0.9882413088</v>
      </c>
      <c r="CK10" s="4">
        <v>0.8204137057</v>
      </c>
      <c r="CL10" s="4">
        <v>0.5891445092</v>
      </c>
      <c r="CM10" s="144">
        <v>0.687</v>
      </c>
      <c r="CN10" s="144">
        <v>0.721</v>
      </c>
      <c r="CO10" s="144">
        <v>0.357</v>
      </c>
      <c r="CP10" s="144">
        <v>0.126</v>
      </c>
      <c r="CQ10" s="25" t="s">
        <v>745</v>
      </c>
      <c r="CR10" s="26" t="s">
        <v>431</v>
      </c>
      <c r="CS10" s="26" t="s">
        <v>566</v>
      </c>
      <c r="CT10" s="26" t="s">
        <v>73</v>
      </c>
      <c r="CU10" s="26" t="s">
        <v>582</v>
      </c>
      <c r="CV10" s="26" t="s">
        <v>638</v>
      </c>
      <c r="CW10" s="26" t="s">
        <v>644</v>
      </c>
      <c r="CX10" s="26" t="s">
        <v>365</v>
      </c>
      <c r="CY10" s="26" t="s">
        <v>80</v>
      </c>
      <c r="CZ10" s="26" t="s">
        <v>428</v>
      </c>
      <c r="DA10" s="26" t="s">
        <v>594</v>
      </c>
      <c r="DB10" s="26" t="s">
        <v>666</v>
      </c>
      <c r="DC10" s="26" t="s">
        <v>394</v>
      </c>
      <c r="DD10" s="26" t="s">
        <v>431</v>
      </c>
      <c r="DE10" s="26" t="s">
        <v>446</v>
      </c>
      <c r="DF10" s="26" t="s">
        <v>606</v>
      </c>
      <c r="DG10" s="26" t="s">
        <v>224</v>
      </c>
      <c r="DH10" s="26" t="s">
        <v>746</v>
      </c>
      <c r="DI10" s="26">
        <v>0.981</v>
      </c>
      <c r="DJ10" s="26" t="s">
        <v>158</v>
      </c>
      <c r="DK10" s="26" t="s">
        <v>258</v>
      </c>
      <c r="DL10" s="26" t="s">
        <v>259</v>
      </c>
      <c r="DM10" s="27" t="s">
        <v>260</v>
      </c>
      <c r="DO10" s="91">
        <f t="shared" ref="DO10:DS10" si="37">IFERROR(AVERAGE(IFERROR(VALUE(C10),""),IFERROR(VALUE(H10),""),IFERROR(VALUE(M10),""),IFERROR(VALUE(R10),""),IFERROR(VALUE(W10),""),IFERROR(VALUE(AB10),"")),"")</f>
        <v>0.758</v>
      </c>
      <c r="DP10" s="92">
        <f t="shared" si="37"/>
        <v>0.7483333333</v>
      </c>
      <c r="DQ10" s="34">
        <f t="shared" si="37"/>
        <v>0.6246666667</v>
      </c>
      <c r="DR10" s="83">
        <f t="shared" si="37"/>
        <v>0.4781666667</v>
      </c>
      <c r="DS10" s="93">
        <f t="shared" si="37"/>
        <v>0.2418333333</v>
      </c>
      <c r="DT10" s="94">
        <f t="shared" ref="DT10:DV10" si="38">IFERROR(AVERAGE(IFERROR(VALUE(AG10),""),IFERROR(VALUE(AJ10),""),IFERROR(VALUE(AM10),""),IFERROR(VALUE(AP10),""),IFERROR(VALUE(AS10),"")),"")</f>
        <v>0.3582</v>
      </c>
      <c r="DU10" s="95">
        <f t="shared" si="38"/>
        <v>0.7136</v>
      </c>
      <c r="DV10" s="96">
        <f t="shared" si="38"/>
        <v>0.6424</v>
      </c>
      <c r="DW10" s="83">
        <f t="shared" ref="DW10:DX10" si="39">IFERROR(AVERAGE(IFERROR(VALUE(AW10),""),IFERROR(VALUE(AZ10),""),IFERROR(VALUE(BC10),""),IFERROR(VALUE(BF10),""),IFERROR(VALUE(BI10),"")),"")</f>
        <v>0.6528</v>
      </c>
      <c r="DX10" s="448">
        <f t="shared" si="39"/>
        <v>0.806</v>
      </c>
      <c r="DY10" s="19" t="str">
        <f t="shared" si="10"/>
        <v/>
      </c>
      <c r="DZ10" s="41">
        <f t="shared" si="11"/>
        <v>0.8200092387</v>
      </c>
      <c r="EA10" s="237">
        <f t="shared" si="12"/>
        <v>0.8002482618</v>
      </c>
      <c r="EB10" s="42">
        <f t="shared" si="13"/>
        <v>0.5304827411</v>
      </c>
      <c r="EC10" s="441">
        <f t="shared" si="14"/>
        <v>0.3134289018</v>
      </c>
      <c r="ED10" s="101">
        <f t="shared" si="15"/>
        <v>0.981</v>
      </c>
      <c r="EE10" s="102">
        <f t="shared" ref="EE10:EF10" si="40">IFERROR(AVERAGE(IFERROR(VALUE(CQ10),""),IFERROR(VALUE(CW10),""),IFERROR(VALUE(DC10),""),IFERROR(VALUE(DJ10),"")),"")</f>
        <v>0.8325</v>
      </c>
      <c r="EF10" s="103">
        <f t="shared" si="40"/>
        <v>0.91925</v>
      </c>
      <c r="EG10" s="104">
        <f t="shared" ref="EG10:EH10" si="41">IFERROR(AVERAGE(IFERROR(VALUE(CU10),""),IFERROR(VALUE(DA10),""),IFERROR(VALUE(DG10),""),IFERROR(VALUE(DL10),"")),"")</f>
        <v>0.6465</v>
      </c>
      <c r="EH10" s="105">
        <f t="shared" si="41"/>
        <v>0.502</v>
      </c>
      <c r="EI10" s="38">
        <f t="shared" ref="EI10:EJ10" si="42">IFERROR(AVERAGE(IFERROR(VALUE(CS10),""),IFERROR(VALUE(CY10),""),IFERROR(VALUE(DE10),"")),"")</f>
        <v>0.5596666667</v>
      </c>
      <c r="EJ10" s="449">
        <f t="shared" si="42"/>
        <v>0.1586666667</v>
      </c>
    </row>
    <row r="11">
      <c r="A11" s="52"/>
      <c r="B11" s="53" t="s">
        <v>261</v>
      </c>
      <c r="C11" s="25">
        <v>0.852</v>
      </c>
      <c r="D11" s="26" t="s">
        <v>143</v>
      </c>
      <c r="E11" s="26" t="s">
        <v>262</v>
      </c>
      <c r="F11" s="26" t="s">
        <v>263</v>
      </c>
      <c r="G11" s="26" t="s">
        <v>68</v>
      </c>
      <c r="H11" s="26">
        <v>0.318</v>
      </c>
      <c r="I11" s="26" t="s">
        <v>220</v>
      </c>
      <c r="J11" s="26" t="s">
        <v>264</v>
      </c>
      <c r="K11" s="26" t="s">
        <v>265</v>
      </c>
      <c r="L11" s="26" t="s">
        <v>266</v>
      </c>
      <c r="M11" s="26">
        <v>0.769</v>
      </c>
      <c r="N11" s="26" t="s">
        <v>267</v>
      </c>
      <c r="O11" s="26" t="s">
        <v>268</v>
      </c>
      <c r="P11" s="26" t="s">
        <v>269</v>
      </c>
      <c r="Q11" s="26" t="s">
        <v>270</v>
      </c>
      <c r="R11" s="26">
        <v>0.6615</v>
      </c>
      <c r="S11" s="26" t="s">
        <v>271</v>
      </c>
      <c r="T11" s="26" t="s">
        <v>272</v>
      </c>
      <c r="U11" s="26" t="s">
        <v>273</v>
      </c>
      <c r="V11" s="26" t="s">
        <v>274</v>
      </c>
      <c r="W11" s="26">
        <v>0.77</v>
      </c>
      <c r="X11" s="26" t="s">
        <v>169</v>
      </c>
      <c r="Y11" s="26" t="s">
        <v>275</v>
      </c>
      <c r="Z11" s="26" t="s">
        <v>276</v>
      </c>
      <c r="AA11" s="26" t="s">
        <v>277</v>
      </c>
      <c r="AB11" s="26">
        <v>0.858</v>
      </c>
      <c r="AC11" s="26" t="s">
        <v>116</v>
      </c>
      <c r="AD11" s="26" t="s">
        <v>278</v>
      </c>
      <c r="AE11" s="26" t="s">
        <v>279</v>
      </c>
      <c r="AF11" s="27" t="s">
        <v>280</v>
      </c>
      <c r="AG11" s="26">
        <v>0.465</v>
      </c>
      <c r="AH11" s="26" t="s">
        <v>281</v>
      </c>
      <c r="AI11" s="26" t="s">
        <v>111</v>
      </c>
      <c r="AJ11" s="26">
        <v>0.111</v>
      </c>
      <c r="AK11" s="72">
        <v>0.711</v>
      </c>
      <c r="AL11" s="72">
        <v>0.293</v>
      </c>
      <c r="AM11" s="26">
        <v>0.472</v>
      </c>
      <c r="AN11" s="26" t="s">
        <v>282</v>
      </c>
      <c r="AO11" s="26" t="s">
        <v>283</v>
      </c>
      <c r="AP11" s="26">
        <v>0.344</v>
      </c>
      <c r="AQ11" s="26" t="s">
        <v>284</v>
      </c>
      <c r="AR11" s="26" t="s">
        <v>285</v>
      </c>
      <c r="AS11" s="26">
        <v>0.309</v>
      </c>
      <c r="AT11" s="26" t="s">
        <v>286</v>
      </c>
      <c r="AU11" s="26" t="s">
        <v>287</v>
      </c>
      <c r="AV11" s="25"/>
      <c r="AW11" s="26" t="s">
        <v>119</v>
      </c>
      <c r="AX11" s="26" t="s">
        <v>288</v>
      </c>
      <c r="AY11" s="26"/>
      <c r="AZ11" s="26" t="s">
        <v>289</v>
      </c>
      <c r="BA11" s="26" t="s">
        <v>290</v>
      </c>
      <c r="BB11" s="26"/>
      <c r="BC11" s="26" t="s">
        <v>291</v>
      </c>
      <c r="BD11" s="26" t="s">
        <v>244</v>
      </c>
      <c r="BE11" s="26"/>
      <c r="BF11" s="26" t="s">
        <v>189</v>
      </c>
      <c r="BG11" s="26" t="s">
        <v>292</v>
      </c>
      <c r="BH11" s="26"/>
      <c r="BI11" s="26" t="s">
        <v>263</v>
      </c>
      <c r="BJ11" s="26" t="s">
        <v>189</v>
      </c>
      <c r="BK11" s="26"/>
      <c r="BL11" s="26"/>
      <c r="BM11" s="26"/>
      <c r="BN11" s="26"/>
      <c r="BO11" s="26"/>
      <c r="BP11" s="26"/>
      <c r="BQ11" s="26"/>
      <c r="BR11" s="26"/>
      <c r="BS11" s="27"/>
      <c r="BT11" s="26">
        <v>0.89</v>
      </c>
      <c r="BU11" s="26" t="s">
        <v>293</v>
      </c>
      <c r="BV11" s="26" t="s">
        <v>88</v>
      </c>
      <c r="BW11" s="26" t="s">
        <v>294</v>
      </c>
      <c r="BX11" s="26" t="s">
        <v>295</v>
      </c>
      <c r="BY11" s="26">
        <v>0.927</v>
      </c>
      <c r="BZ11" s="26" t="s">
        <v>194</v>
      </c>
      <c r="CA11" s="26" t="s">
        <v>291</v>
      </c>
      <c r="CB11" s="26" t="s">
        <v>296</v>
      </c>
      <c r="CC11" s="26" t="s">
        <v>297</v>
      </c>
      <c r="CD11" s="26" t="s">
        <v>298</v>
      </c>
      <c r="CE11" s="26" t="s">
        <v>299</v>
      </c>
      <c r="CF11" s="26" t="s">
        <v>703</v>
      </c>
      <c r="CG11" s="26" t="s">
        <v>300</v>
      </c>
      <c r="CH11" s="144">
        <v>0.992</v>
      </c>
      <c r="CI11" s="144">
        <v>0.872</v>
      </c>
      <c r="CJ11" s="144">
        <v>0.987</v>
      </c>
      <c r="CK11" s="144">
        <v>0.757</v>
      </c>
      <c r="CL11" s="144">
        <v>0.498</v>
      </c>
      <c r="CM11" s="144">
        <v>0.621</v>
      </c>
      <c r="CN11" s="144">
        <v>0.661</v>
      </c>
      <c r="CO11" s="144">
        <v>0.318</v>
      </c>
      <c r="CP11" s="144">
        <v>0.089</v>
      </c>
      <c r="CQ11" s="25" t="s">
        <v>208</v>
      </c>
      <c r="CR11" s="26" t="s">
        <v>205</v>
      </c>
      <c r="CS11" s="26" t="s">
        <v>571</v>
      </c>
      <c r="CT11" s="26" t="s">
        <v>389</v>
      </c>
      <c r="CU11" s="26" t="s">
        <v>746</v>
      </c>
      <c r="CV11" s="26" t="s">
        <v>747</v>
      </c>
      <c r="CW11" s="26" t="s">
        <v>431</v>
      </c>
      <c r="CX11" s="26" t="s">
        <v>674</v>
      </c>
      <c r="CY11" s="26" t="s">
        <v>665</v>
      </c>
      <c r="CZ11" s="26" t="s">
        <v>748</v>
      </c>
      <c r="DA11" s="26" t="s">
        <v>687</v>
      </c>
      <c r="DB11" s="26" t="s">
        <v>627</v>
      </c>
      <c r="DC11" s="26" t="s">
        <v>88</v>
      </c>
      <c r="DD11" s="26" t="s">
        <v>707</v>
      </c>
      <c r="DE11" s="26" t="s">
        <v>749</v>
      </c>
      <c r="DF11" s="26" t="s">
        <v>750</v>
      </c>
      <c r="DG11" s="26" t="s">
        <v>314</v>
      </c>
      <c r="DH11" s="26" t="s">
        <v>751</v>
      </c>
      <c r="DI11" s="26">
        <v>0.967</v>
      </c>
      <c r="DJ11" s="26" t="s">
        <v>301</v>
      </c>
      <c r="DK11" s="26" t="s">
        <v>302</v>
      </c>
      <c r="DL11" s="26" t="s">
        <v>303</v>
      </c>
      <c r="DM11" s="27" t="s">
        <v>304</v>
      </c>
      <c r="DO11" s="108">
        <f t="shared" ref="DO11:DS11" si="43">IFERROR(AVERAGE(IFERROR(VALUE(C11),""),IFERROR(VALUE(H11),""),IFERROR(VALUE(M11),""),IFERROR(VALUE(R11),""),IFERROR(VALUE(W11),""),IFERROR(VALUE(AB11),"")),"")</f>
        <v>0.70475</v>
      </c>
      <c r="DP11" s="109">
        <f t="shared" si="43"/>
        <v>0.6465</v>
      </c>
      <c r="DQ11" s="110">
        <f t="shared" si="43"/>
        <v>0.4915</v>
      </c>
      <c r="DR11" s="111">
        <f t="shared" si="43"/>
        <v>0.41</v>
      </c>
      <c r="DS11" s="71">
        <f t="shared" si="43"/>
        <v>0.1106666667</v>
      </c>
      <c r="DT11" s="33">
        <f t="shared" ref="DT11:DV11" si="44">IFERROR(AVERAGE(IFERROR(VALUE(AG11),""),IFERROR(VALUE(AJ11),""),IFERROR(VALUE(AM11),""),IFERROR(VALUE(AP11),""),IFERROR(VALUE(AS11),"")),"")</f>
        <v>0.3402</v>
      </c>
      <c r="DU11" s="38">
        <f t="shared" si="44"/>
        <v>0.689</v>
      </c>
      <c r="DV11" s="112">
        <f t="shared" si="44"/>
        <v>0.6342</v>
      </c>
      <c r="DW11" s="35">
        <f t="shared" ref="DW11:DX11" si="45">IFERROR(AVERAGE(IFERROR(VALUE(AW11),""),IFERROR(VALUE(AZ11),""),IFERROR(VALUE(BC11),""),IFERROR(VALUE(BF11),""),IFERROR(VALUE(BI11),"")),"")</f>
        <v>0.6472</v>
      </c>
      <c r="DX11" s="113">
        <f t="shared" si="45"/>
        <v>0.7644</v>
      </c>
      <c r="DY11" s="450">
        <f t="shared" si="10"/>
        <v>0.9363333333</v>
      </c>
      <c r="DZ11" s="41">
        <f t="shared" si="11"/>
        <v>0.7322</v>
      </c>
      <c r="EA11" s="237">
        <f t="shared" si="12"/>
        <v>0.7036</v>
      </c>
      <c r="EB11" s="42">
        <f t="shared" si="13"/>
        <v>0.4496</v>
      </c>
      <c r="EC11" s="441">
        <f t="shared" si="14"/>
        <v>0.2378</v>
      </c>
      <c r="ED11" s="119">
        <f t="shared" si="15"/>
        <v>0.967</v>
      </c>
      <c r="EE11" s="35">
        <f t="shared" ref="EE11:EF11" si="46">IFERROR(AVERAGE(IFERROR(VALUE(CQ11),""),IFERROR(VALUE(CW11),""),IFERROR(VALUE(DC11),""),IFERROR(VALUE(DJ11),"")),"")</f>
        <v>0.76325</v>
      </c>
      <c r="EF11" s="84">
        <f t="shared" si="46"/>
        <v>0.85975</v>
      </c>
      <c r="EG11" s="83">
        <f t="shared" ref="EG11:EH11" si="47">IFERROR(AVERAGE(IFERROR(VALUE(CU11),""),IFERROR(VALUE(DA11),""),IFERROR(VALUE(DG11),""),IFERROR(VALUE(DL11),"")),"")</f>
        <v>0.505</v>
      </c>
      <c r="EH11" s="34">
        <f t="shared" si="47"/>
        <v>0.373</v>
      </c>
      <c r="EI11" s="35">
        <f t="shared" ref="EI11:EJ11" si="48">IFERROR(AVERAGE(IFERROR(VALUE(CS11),""),IFERROR(VALUE(CY11),""),IFERROR(VALUE(DE11),"")),"")</f>
        <v>0.5503333333</v>
      </c>
      <c r="EJ11" s="267">
        <f t="shared" si="48"/>
        <v>0.129</v>
      </c>
    </row>
    <row r="12">
      <c r="A12" s="52"/>
      <c r="B12" s="53" t="s">
        <v>305</v>
      </c>
      <c r="C12" s="25">
        <v>0.926</v>
      </c>
      <c r="D12" s="26" t="s">
        <v>306</v>
      </c>
      <c r="E12" s="26" t="s">
        <v>307</v>
      </c>
      <c r="F12" s="26" t="s">
        <v>140</v>
      </c>
      <c r="G12" s="26" t="s">
        <v>308</v>
      </c>
      <c r="H12" s="26">
        <v>0.58</v>
      </c>
      <c r="I12" s="26" t="s">
        <v>309</v>
      </c>
      <c r="J12" s="26" t="s">
        <v>310</v>
      </c>
      <c r="K12" s="26" t="s">
        <v>311</v>
      </c>
      <c r="L12" s="26" t="s">
        <v>312</v>
      </c>
      <c r="M12" s="26">
        <v>0.804</v>
      </c>
      <c r="N12" s="26" t="s">
        <v>146</v>
      </c>
      <c r="O12" s="26" t="s">
        <v>313</v>
      </c>
      <c r="P12" s="26" t="s">
        <v>212</v>
      </c>
      <c r="Q12" s="26" t="s">
        <v>314</v>
      </c>
      <c r="R12" s="26">
        <v>0.72</v>
      </c>
      <c r="S12" s="26" t="s">
        <v>148</v>
      </c>
      <c r="T12" s="26" t="s">
        <v>202</v>
      </c>
      <c r="U12" s="26" t="s">
        <v>257</v>
      </c>
      <c r="V12" s="26" t="s">
        <v>172</v>
      </c>
      <c r="W12" s="26">
        <v>0.885</v>
      </c>
      <c r="X12" s="26" t="s">
        <v>208</v>
      </c>
      <c r="Y12" s="26" t="s">
        <v>200</v>
      </c>
      <c r="Z12" s="26" t="s">
        <v>294</v>
      </c>
      <c r="AA12" s="26" t="s">
        <v>315</v>
      </c>
      <c r="AB12" s="26">
        <v>0.912</v>
      </c>
      <c r="AC12" s="26" t="s">
        <v>316</v>
      </c>
      <c r="AD12" s="26" t="s">
        <v>317</v>
      </c>
      <c r="AE12" s="26" t="s">
        <v>318</v>
      </c>
      <c r="AF12" s="27" t="s">
        <v>319</v>
      </c>
      <c r="AG12" s="26">
        <v>0.601</v>
      </c>
      <c r="AH12" s="26" t="s">
        <v>222</v>
      </c>
      <c r="AI12" s="26" t="s">
        <v>320</v>
      </c>
      <c r="AJ12" s="26">
        <v>0.124</v>
      </c>
      <c r="AK12" s="26" t="s">
        <v>283</v>
      </c>
      <c r="AL12" s="26" t="s">
        <v>321</v>
      </c>
      <c r="AM12" s="26">
        <v>0.596</v>
      </c>
      <c r="AN12" s="26" t="s">
        <v>279</v>
      </c>
      <c r="AO12" s="26" t="s">
        <v>322</v>
      </c>
      <c r="AP12" s="26">
        <v>0.159</v>
      </c>
      <c r="AQ12" s="26" t="s">
        <v>137</v>
      </c>
      <c r="AR12" s="26" t="s">
        <v>244</v>
      </c>
      <c r="AS12" s="26">
        <v>0.447</v>
      </c>
      <c r="AT12" s="26" t="s">
        <v>323</v>
      </c>
      <c r="AU12" s="26" t="s">
        <v>324</v>
      </c>
      <c r="AV12" s="25"/>
      <c r="AW12" s="26" t="s">
        <v>176</v>
      </c>
      <c r="AX12" s="26" t="s">
        <v>325</v>
      </c>
      <c r="AY12" s="26"/>
      <c r="AZ12" s="26" t="s">
        <v>326</v>
      </c>
      <c r="BA12" s="26" t="s">
        <v>327</v>
      </c>
      <c r="BB12" s="26"/>
      <c r="BC12" s="26" t="s">
        <v>328</v>
      </c>
      <c r="BD12" s="26" t="s">
        <v>329</v>
      </c>
      <c r="BE12" s="26"/>
      <c r="BF12" s="26" t="s">
        <v>330</v>
      </c>
      <c r="BG12" s="26" t="s">
        <v>331</v>
      </c>
      <c r="BH12" s="26"/>
      <c r="BI12" s="26" t="s">
        <v>332</v>
      </c>
      <c r="BJ12" s="26" t="s">
        <v>333</v>
      </c>
      <c r="BK12" s="26"/>
      <c r="BL12" s="72">
        <v>0.741</v>
      </c>
      <c r="BM12" s="72">
        <v>0.842</v>
      </c>
      <c r="BN12" s="26"/>
      <c r="BO12" s="26"/>
      <c r="BP12" s="26"/>
      <c r="BQ12" s="26"/>
      <c r="BR12" s="26"/>
      <c r="BS12" s="27"/>
      <c r="BT12" s="26">
        <v>0.885</v>
      </c>
      <c r="BU12" s="26" t="s">
        <v>334</v>
      </c>
      <c r="BV12" s="26" t="s">
        <v>335</v>
      </c>
      <c r="BW12" s="26" t="s">
        <v>336</v>
      </c>
      <c r="BX12" s="26" t="s">
        <v>337</v>
      </c>
      <c r="BY12" s="26">
        <v>0.916</v>
      </c>
      <c r="BZ12" s="26" t="s">
        <v>338</v>
      </c>
      <c r="CA12" s="26" t="s">
        <v>306</v>
      </c>
      <c r="CB12" s="26" t="s">
        <v>339</v>
      </c>
      <c r="CC12" s="26" t="s">
        <v>340</v>
      </c>
      <c r="CD12" s="26" t="s">
        <v>341</v>
      </c>
      <c r="CE12" s="26" t="s">
        <v>137</v>
      </c>
      <c r="CF12" s="26" t="s">
        <v>311</v>
      </c>
      <c r="CG12" s="26" t="s">
        <v>342</v>
      </c>
      <c r="CH12" s="4">
        <v>0.9445296524</v>
      </c>
      <c r="CI12" s="4">
        <v>0.9429376853</v>
      </c>
      <c r="CJ12" s="4">
        <v>0.9097648262</v>
      </c>
      <c r="CK12" s="4">
        <v>0.834580873</v>
      </c>
      <c r="CL12" s="4">
        <v>0.617049719</v>
      </c>
      <c r="CM12" s="144">
        <v>0.736</v>
      </c>
      <c r="CN12" s="144">
        <v>0.776</v>
      </c>
      <c r="CO12" s="144">
        <v>0.438</v>
      </c>
      <c r="CP12" s="144">
        <v>0.16</v>
      </c>
      <c r="CQ12" s="25" t="s">
        <v>376</v>
      </c>
      <c r="CR12" s="26" t="s">
        <v>752</v>
      </c>
      <c r="CS12" s="26" t="s">
        <v>351</v>
      </c>
      <c r="CT12" s="26" t="s">
        <v>583</v>
      </c>
      <c r="CU12" s="26" t="s">
        <v>76</v>
      </c>
      <c r="CV12" s="26" t="s">
        <v>753</v>
      </c>
      <c r="CW12" s="26" t="s">
        <v>718</v>
      </c>
      <c r="CX12" s="26" t="s">
        <v>737</v>
      </c>
      <c r="CY12" s="26" t="s">
        <v>200</v>
      </c>
      <c r="CZ12" s="26" t="s">
        <v>118</v>
      </c>
      <c r="DA12" s="26" t="s">
        <v>163</v>
      </c>
      <c r="DB12" s="26" t="s">
        <v>495</v>
      </c>
      <c r="DC12" s="26" t="s">
        <v>754</v>
      </c>
      <c r="DD12" s="26" t="s">
        <v>473</v>
      </c>
      <c r="DE12" s="26" t="s">
        <v>278</v>
      </c>
      <c r="DF12" s="26" t="s">
        <v>755</v>
      </c>
      <c r="DG12" s="26" t="s">
        <v>191</v>
      </c>
      <c r="DH12" s="26" t="s">
        <v>437</v>
      </c>
      <c r="DI12" s="26">
        <v>0.984</v>
      </c>
      <c r="DJ12" s="26" t="s">
        <v>343</v>
      </c>
      <c r="DK12" s="26" t="s">
        <v>316</v>
      </c>
      <c r="DL12" s="26" t="s">
        <v>168</v>
      </c>
      <c r="DM12" s="27" t="s">
        <v>137</v>
      </c>
      <c r="DO12" s="122">
        <f t="shared" ref="DO12:DS12" si="49">IFERROR(AVERAGE(IFERROR(VALUE(C12),""),IFERROR(VALUE(H12),""),IFERROR(VALUE(M12),""),IFERROR(VALUE(R12),""),IFERROR(VALUE(W12),""),IFERROR(VALUE(AB12),"")),"")</f>
        <v>0.8045</v>
      </c>
      <c r="DP12" s="123">
        <f t="shared" si="49"/>
        <v>0.7736666667</v>
      </c>
      <c r="DQ12" s="124">
        <f t="shared" si="49"/>
        <v>0.6703333333</v>
      </c>
      <c r="DR12" s="125">
        <f t="shared" si="49"/>
        <v>0.5596666667</v>
      </c>
      <c r="DS12" s="126">
        <f t="shared" si="49"/>
        <v>0.2716666667</v>
      </c>
      <c r="DT12" s="127">
        <f t="shared" ref="DT12:DV12" si="50">IFERROR(AVERAGE(IFERROR(VALUE(AG12),""),IFERROR(VALUE(AJ12),""),IFERROR(VALUE(AM12),""),IFERROR(VALUE(AP12),""),IFERROR(VALUE(AS12),"")),"")</f>
        <v>0.3854</v>
      </c>
      <c r="DU12" s="128">
        <f t="shared" si="50"/>
        <v>0.7244</v>
      </c>
      <c r="DV12" s="129">
        <f t="shared" si="50"/>
        <v>0.6614</v>
      </c>
      <c r="DW12" s="451">
        <f t="shared" ref="DW12:DX12" si="51">IFERROR(AVERAGE(IFERROR(VALUE(AW12),""),IFERROR(VALUE(AZ12),""),IFERROR(VALUE(BC12),""),IFERROR(VALUE(BF12),""),IFERROR(VALUE(BI12),"")),"")</f>
        <v>0.7026</v>
      </c>
      <c r="DX12" s="129">
        <f t="shared" si="51"/>
        <v>0.8478</v>
      </c>
      <c r="DY12" s="452">
        <f t="shared" si="10"/>
        <v>0.9151765508</v>
      </c>
      <c r="DZ12" s="41">
        <f t="shared" si="11"/>
        <v>0.8171875371</v>
      </c>
      <c r="EA12" s="237">
        <f t="shared" si="12"/>
        <v>0.7925529652</v>
      </c>
      <c r="EB12" s="42">
        <f t="shared" si="13"/>
        <v>0.5571161746</v>
      </c>
      <c r="EC12" s="441">
        <f t="shared" si="14"/>
        <v>0.3278099438</v>
      </c>
      <c r="ED12" s="137">
        <f t="shared" si="15"/>
        <v>0.984</v>
      </c>
      <c r="EE12" s="138">
        <f t="shared" ref="EE12:EF12" si="52">IFERROR(AVERAGE(IFERROR(VALUE(CQ12),""),IFERROR(VALUE(CW12),""),IFERROR(VALUE(DC12),""),IFERROR(VALUE(DJ12),"")),"")</f>
        <v>0.88975</v>
      </c>
      <c r="EF12" s="139">
        <f t="shared" si="52"/>
        <v>0.96825</v>
      </c>
      <c r="EG12" s="138">
        <f t="shared" ref="EG12:EH12" si="53">IFERROR(AVERAGE(IFERROR(VALUE(CU12),""),IFERROR(VALUE(DA12),""),IFERROR(VALUE(DG12),""),IFERROR(VALUE(DL12),"")),"")</f>
        <v>0.8075</v>
      </c>
      <c r="EH12" s="138">
        <f t="shared" si="53"/>
        <v>0.7335</v>
      </c>
      <c r="EI12" s="55">
        <f t="shared" ref="EI12:EJ12" si="54">IFERROR(AVERAGE(IFERROR(VALUE(CS12),""),IFERROR(VALUE(CY12),""),IFERROR(VALUE(DE12),"")),"")</f>
        <v>0.5756666667</v>
      </c>
      <c r="EJ12" s="37">
        <f t="shared" si="54"/>
        <v>0.2126666667</v>
      </c>
    </row>
    <row r="13">
      <c r="A13" s="52"/>
      <c r="B13" s="53" t="s">
        <v>345</v>
      </c>
      <c r="C13" s="25">
        <v>0.897</v>
      </c>
      <c r="D13" s="26" t="s">
        <v>346</v>
      </c>
      <c r="E13" s="26" t="s">
        <v>93</v>
      </c>
      <c r="F13" s="26" t="s">
        <v>347</v>
      </c>
      <c r="G13" s="26" t="s">
        <v>348</v>
      </c>
      <c r="H13" s="26">
        <v>0.702</v>
      </c>
      <c r="I13" s="26" t="s">
        <v>349</v>
      </c>
      <c r="J13" s="26" t="s">
        <v>194</v>
      </c>
      <c r="K13" s="26" t="s">
        <v>350</v>
      </c>
      <c r="L13" s="26" t="s">
        <v>73</v>
      </c>
      <c r="M13" s="26">
        <v>0.782</v>
      </c>
      <c r="N13" s="26" t="s">
        <v>147</v>
      </c>
      <c r="O13" s="26" t="s">
        <v>176</v>
      </c>
      <c r="P13" s="26" t="s">
        <v>351</v>
      </c>
      <c r="Q13" s="26" t="s">
        <v>352</v>
      </c>
      <c r="R13" s="26">
        <v>0.706</v>
      </c>
      <c r="S13" s="26" t="s">
        <v>187</v>
      </c>
      <c r="T13" s="26" t="s">
        <v>353</v>
      </c>
      <c r="U13" s="26" t="s">
        <v>354</v>
      </c>
      <c r="V13" s="26" t="s">
        <v>355</v>
      </c>
      <c r="W13" s="26">
        <v>0.885</v>
      </c>
      <c r="X13" s="26" t="s">
        <v>338</v>
      </c>
      <c r="Y13" s="26" t="s">
        <v>116</v>
      </c>
      <c r="Z13" s="26" t="s">
        <v>356</v>
      </c>
      <c r="AA13" s="26" t="s">
        <v>357</v>
      </c>
      <c r="AB13" s="26">
        <v>0.805</v>
      </c>
      <c r="AC13" s="26" t="s">
        <v>358</v>
      </c>
      <c r="AD13" s="26" t="s">
        <v>80</v>
      </c>
      <c r="AE13" s="26" t="s">
        <v>194</v>
      </c>
      <c r="AF13" s="27" t="s">
        <v>359</v>
      </c>
      <c r="AG13" s="26">
        <v>0.648</v>
      </c>
      <c r="AH13" s="26" t="s">
        <v>142</v>
      </c>
      <c r="AI13" s="26" t="s">
        <v>360</v>
      </c>
      <c r="AJ13" s="26">
        <v>0.148</v>
      </c>
      <c r="AK13" s="26" t="s">
        <v>361</v>
      </c>
      <c r="AL13" s="26" t="s">
        <v>362</v>
      </c>
      <c r="AM13" s="26">
        <v>0.431</v>
      </c>
      <c r="AN13" s="26" t="s">
        <v>363</v>
      </c>
      <c r="AO13" s="26" t="s">
        <v>364</v>
      </c>
      <c r="AP13" s="26">
        <v>0.279</v>
      </c>
      <c r="AQ13" s="26" t="s">
        <v>82</v>
      </c>
      <c r="AR13" s="26" t="s">
        <v>271</v>
      </c>
      <c r="AS13" s="26">
        <v>0.455</v>
      </c>
      <c r="AT13" s="26" t="s">
        <v>162</v>
      </c>
      <c r="AU13" s="26" t="s">
        <v>85</v>
      </c>
      <c r="AV13" s="25"/>
      <c r="AW13" s="26" t="s">
        <v>233</v>
      </c>
      <c r="AX13" s="26" t="s">
        <v>365</v>
      </c>
      <c r="AY13" s="26"/>
      <c r="AZ13" s="26" t="s">
        <v>229</v>
      </c>
      <c r="BA13" s="26" t="s">
        <v>199</v>
      </c>
      <c r="BB13" s="26"/>
      <c r="BC13" s="26" t="s">
        <v>366</v>
      </c>
      <c r="BD13" s="26" t="s">
        <v>367</v>
      </c>
      <c r="BE13" s="26"/>
      <c r="BF13" s="26" t="s">
        <v>368</v>
      </c>
      <c r="BG13" s="26" t="s">
        <v>367</v>
      </c>
      <c r="BH13" s="26"/>
      <c r="BI13" s="26" t="s">
        <v>369</v>
      </c>
      <c r="BJ13" s="26" t="s">
        <v>351</v>
      </c>
      <c r="BK13" s="26"/>
      <c r="BL13" s="26"/>
      <c r="BM13" s="26"/>
      <c r="BN13" s="26"/>
      <c r="BO13" s="26"/>
      <c r="BP13" s="26"/>
      <c r="BQ13" s="26"/>
      <c r="BR13" s="26"/>
      <c r="BS13" s="27"/>
      <c r="BT13" s="26">
        <v>0.916</v>
      </c>
      <c r="BU13" s="26" t="s">
        <v>162</v>
      </c>
      <c r="BV13" s="26" t="s">
        <v>370</v>
      </c>
      <c r="BW13" s="26" t="s">
        <v>121</v>
      </c>
      <c r="BX13" s="26" t="s">
        <v>371</v>
      </c>
      <c r="BY13" s="26">
        <v>0.956</v>
      </c>
      <c r="BZ13" s="26" t="s">
        <v>154</v>
      </c>
      <c r="CA13" s="26" t="s">
        <v>241</v>
      </c>
      <c r="CB13" s="26" t="s">
        <v>372</v>
      </c>
      <c r="CC13" s="26" t="s">
        <v>373</v>
      </c>
      <c r="CD13" s="26" t="s">
        <v>318</v>
      </c>
      <c r="CE13" s="26" t="s">
        <v>374</v>
      </c>
      <c r="CF13" s="26" t="s">
        <v>375</v>
      </c>
      <c r="CG13" s="26" t="s">
        <v>276</v>
      </c>
      <c r="CH13" s="144">
        <v>1.0</v>
      </c>
      <c r="CI13" s="144">
        <v>0.987</v>
      </c>
      <c r="CJ13" s="144">
        <v>0.996</v>
      </c>
      <c r="CK13" s="144">
        <v>0.911</v>
      </c>
      <c r="CL13" s="144">
        <v>0.701</v>
      </c>
      <c r="CM13" s="144">
        <v>0.689</v>
      </c>
      <c r="CN13" s="144">
        <v>0.72</v>
      </c>
      <c r="CO13" s="144">
        <v>0.353</v>
      </c>
      <c r="CP13" s="144">
        <v>0.108</v>
      </c>
      <c r="CQ13" s="25" t="s">
        <v>341</v>
      </c>
      <c r="CR13" s="26" t="s">
        <v>465</v>
      </c>
      <c r="CS13" s="26" t="s">
        <v>487</v>
      </c>
      <c r="CT13" s="26" t="s">
        <v>512</v>
      </c>
      <c r="CU13" s="26" t="s">
        <v>756</v>
      </c>
      <c r="CV13" s="26" t="s">
        <v>474</v>
      </c>
      <c r="CW13" s="26" t="s">
        <v>365</v>
      </c>
      <c r="CX13" s="26" t="s">
        <v>325</v>
      </c>
      <c r="CY13" s="26" t="s">
        <v>318</v>
      </c>
      <c r="CZ13" s="26" t="s">
        <v>757</v>
      </c>
      <c r="DA13" s="26" t="s">
        <v>302</v>
      </c>
      <c r="DB13" s="26" t="s">
        <v>91</v>
      </c>
      <c r="DC13" s="26" t="s">
        <v>298</v>
      </c>
      <c r="DD13" s="26" t="s">
        <v>232</v>
      </c>
      <c r="DE13" s="26" t="s">
        <v>434</v>
      </c>
      <c r="DF13" s="26" t="s">
        <v>407</v>
      </c>
      <c r="DG13" s="26" t="s">
        <v>758</v>
      </c>
      <c r="DH13" s="26" t="s">
        <v>442</v>
      </c>
      <c r="DI13" s="26">
        <v>0.984</v>
      </c>
      <c r="DJ13" s="26" t="s">
        <v>376</v>
      </c>
      <c r="DK13" s="26" t="s">
        <v>134</v>
      </c>
      <c r="DL13" s="26" t="s">
        <v>201</v>
      </c>
      <c r="DM13" s="27" t="s">
        <v>303</v>
      </c>
      <c r="DO13" s="147">
        <f t="shared" ref="DO13:DS13" si="55">IFERROR(AVERAGE(IFERROR(VALUE(C13),""),IFERROR(VALUE(H13),""),IFERROR(VALUE(M13),""),IFERROR(VALUE(R13),""),IFERROR(VALUE(W13),""),IFERROR(VALUE(AB13),"")),"")</f>
        <v>0.7961666667</v>
      </c>
      <c r="DP13" s="148">
        <f t="shared" si="55"/>
        <v>0.772</v>
      </c>
      <c r="DQ13" s="149">
        <f t="shared" si="55"/>
        <v>0.6865</v>
      </c>
      <c r="DR13" s="150">
        <f t="shared" si="55"/>
        <v>0.5233333333</v>
      </c>
      <c r="DS13" s="151">
        <f t="shared" si="55"/>
        <v>0.192</v>
      </c>
      <c r="DT13" s="152">
        <f t="shared" ref="DT13:DV13" si="56">IFERROR(AVERAGE(IFERROR(VALUE(AG13),""),IFERROR(VALUE(AJ13),""),IFERROR(VALUE(AM13),""),IFERROR(VALUE(AP13),""),IFERROR(VALUE(AS13),"")),"")</f>
        <v>0.3922</v>
      </c>
      <c r="DU13" s="83">
        <f t="shared" si="56"/>
        <v>0.6866</v>
      </c>
      <c r="DV13" s="153">
        <f t="shared" si="56"/>
        <v>0.6</v>
      </c>
      <c r="DW13" s="229">
        <f t="shared" ref="DW13:DX13" si="57">IFERROR(AVERAGE(IFERROR(VALUE(AW13),""),IFERROR(VALUE(AZ13),""),IFERROR(VALUE(BC13),""),IFERROR(VALUE(BF13),""),IFERROR(VALUE(BI13),"")),"")</f>
        <v>0.6674</v>
      </c>
      <c r="DX13" s="151">
        <f t="shared" si="57"/>
        <v>0.7398</v>
      </c>
      <c r="DY13" s="453">
        <f t="shared" si="10"/>
        <v>0.9573333333</v>
      </c>
      <c r="DZ13" s="41">
        <f t="shared" si="11"/>
        <v>0.8016</v>
      </c>
      <c r="EA13" s="237">
        <f t="shared" si="12"/>
        <v>0.7954</v>
      </c>
      <c r="EB13" s="42">
        <f t="shared" si="13"/>
        <v>0.549</v>
      </c>
      <c r="EC13" s="441">
        <f t="shared" si="14"/>
        <v>0.3074</v>
      </c>
      <c r="ED13" s="137">
        <f t="shared" si="15"/>
        <v>0.984</v>
      </c>
      <c r="EE13" s="160">
        <f t="shared" ref="EE13:EF13" si="58">IFERROR(AVERAGE(IFERROR(VALUE(CQ13),""),IFERROR(VALUE(CW13),""),IFERROR(VALUE(DC13),""),IFERROR(VALUE(DJ13),"")),"")</f>
        <v>0.87425</v>
      </c>
      <c r="EF13" s="161">
        <f t="shared" si="58"/>
        <v>0.95775</v>
      </c>
      <c r="EG13" s="162">
        <f t="shared" ref="EG13:EH13" si="59">IFERROR(AVERAGE(IFERROR(VALUE(CU13),""),IFERROR(VALUE(DA13),""),IFERROR(VALUE(DG13),""),IFERROR(VALUE(DL13),"")),"")</f>
        <v>0.73775</v>
      </c>
      <c r="EH13" s="163">
        <f t="shared" si="59"/>
        <v>0.62025</v>
      </c>
      <c r="EI13" s="138">
        <f t="shared" ref="EI13:EJ13" si="60">IFERROR(AVERAGE(IFERROR(VALUE(CS13),""),IFERROR(VALUE(CY13),""),IFERROR(VALUE(DE13),"")),"")</f>
        <v>0.638</v>
      </c>
      <c r="EJ13" s="454">
        <f t="shared" si="60"/>
        <v>0.2863333333</v>
      </c>
    </row>
    <row r="14">
      <c r="A14" s="166"/>
      <c r="B14" s="167" t="s">
        <v>377</v>
      </c>
      <c r="C14" s="25">
        <v>0.831</v>
      </c>
      <c r="D14" s="26" t="s">
        <v>378</v>
      </c>
      <c r="E14" s="26" t="s">
        <v>379</v>
      </c>
      <c r="F14" s="26" t="s">
        <v>380</v>
      </c>
      <c r="G14" s="26" t="s">
        <v>381</v>
      </c>
      <c r="H14" s="26">
        <v>0.792</v>
      </c>
      <c r="I14" s="26" t="s">
        <v>382</v>
      </c>
      <c r="J14" s="26" t="s">
        <v>383</v>
      </c>
      <c r="K14" s="26" t="s">
        <v>71</v>
      </c>
      <c r="L14" s="26" t="s">
        <v>384</v>
      </c>
      <c r="M14" s="26">
        <v>0.628</v>
      </c>
      <c r="N14" s="26" t="s">
        <v>385</v>
      </c>
      <c r="O14" s="26" t="s">
        <v>386</v>
      </c>
      <c r="P14" s="26" t="s">
        <v>315</v>
      </c>
      <c r="Q14" s="26" t="s">
        <v>210</v>
      </c>
      <c r="R14" s="26">
        <v>0.605</v>
      </c>
      <c r="S14" s="26" t="s">
        <v>137</v>
      </c>
      <c r="T14" s="26" t="s">
        <v>387</v>
      </c>
      <c r="U14" s="26" t="s">
        <v>388</v>
      </c>
      <c r="V14" s="26" t="s">
        <v>389</v>
      </c>
      <c r="W14" s="26">
        <v>0.928</v>
      </c>
      <c r="X14" s="26" t="s">
        <v>390</v>
      </c>
      <c r="Y14" s="26" t="s">
        <v>391</v>
      </c>
      <c r="Z14" s="26" t="s">
        <v>263</v>
      </c>
      <c r="AA14" s="26" t="s">
        <v>392</v>
      </c>
      <c r="AB14" s="26">
        <v>0.823</v>
      </c>
      <c r="AC14" s="26" t="s">
        <v>393</v>
      </c>
      <c r="AD14" s="26" t="s">
        <v>394</v>
      </c>
      <c r="AE14" s="26" t="s">
        <v>143</v>
      </c>
      <c r="AF14" s="27" t="s">
        <v>357</v>
      </c>
      <c r="AG14" s="26">
        <v>0.61</v>
      </c>
      <c r="AH14" s="26" t="s">
        <v>78</v>
      </c>
      <c r="AI14" s="26" t="s">
        <v>395</v>
      </c>
      <c r="AJ14" s="26">
        <v>0.149</v>
      </c>
      <c r="AK14" s="26" t="s">
        <v>396</v>
      </c>
      <c r="AL14" s="26" t="s">
        <v>397</v>
      </c>
      <c r="AM14" s="26">
        <v>0.464</v>
      </c>
      <c r="AN14" s="26" t="s">
        <v>398</v>
      </c>
      <c r="AO14" s="26" t="s">
        <v>399</v>
      </c>
      <c r="AP14" s="26">
        <v>0.252</v>
      </c>
      <c r="AQ14" s="26" t="s">
        <v>400</v>
      </c>
      <c r="AR14" s="26" t="s">
        <v>87</v>
      </c>
      <c r="AS14" s="26">
        <v>0.365</v>
      </c>
      <c r="AT14" s="26" t="s">
        <v>401</v>
      </c>
      <c r="AU14" s="26" t="s">
        <v>402</v>
      </c>
      <c r="AV14" s="25"/>
      <c r="AW14" s="26" t="s">
        <v>139</v>
      </c>
      <c r="AX14" s="26" t="s">
        <v>759</v>
      </c>
      <c r="AY14" s="26"/>
      <c r="AZ14" s="26" t="s">
        <v>284</v>
      </c>
      <c r="BA14" s="26" t="s">
        <v>185</v>
      </c>
      <c r="BB14" s="26"/>
      <c r="BC14" s="26" t="s">
        <v>760</v>
      </c>
      <c r="BD14" s="26" t="s">
        <v>594</v>
      </c>
      <c r="BE14" s="26"/>
      <c r="BF14" s="26" t="s">
        <v>260</v>
      </c>
      <c r="BG14" s="26" t="s">
        <v>149</v>
      </c>
      <c r="BH14" s="26"/>
      <c r="BI14" s="26" t="s">
        <v>369</v>
      </c>
      <c r="BJ14" s="26" t="s">
        <v>351</v>
      </c>
      <c r="BK14" s="26"/>
      <c r="BL14" s="26"/>
      <c r="BM14" s="26"/>
      <c r="BN14" s="26"/>
      <c r="BO14" s="26"/>
      <c r="BP14" s="26"/>
      <c r="BQ14" s="26"/>
      <c r="BR14" s="26"/>
      <c r="BS14" s="27"/>
      <c r="BT14" s="26">
        <v>0.912</v>
      </c>
      <c r="BU14" s="26" t="s">
        <v>151</v>
      </c>
      <c r="BV14" s="26" t="s">
        <v>403</v>
      </c>
      <c r="BW14" s="26" t="s">
        <v>404</v>
      </c>
      <c r="BX14" s="26" t="s">
        <v>405</v>
      </c>
      <c r="BY14" s="26">
        <v>0.918</v>
      </c>
      <c r="BZ14" s="26" t="s">
        <v>195</v>
      </c>
      <c r="CA14" s="26" t="s">
        <v>406</v>
      </c>
      <c r="CB14" s="26" t="s">
        <v>407</v>
      </c>
      <c r="CC14" s="26" t="s">
        <v>408</v>
      </c>
      <c r="CD14" s="26" t="s">
        <v>409</v>
      </c>
      <c r="CE14" s="26" t="s">
        <v>410</v>
      </c>
      <c r="CF14" s="26" t="s">
        <v>169</v>
      </c>
      <c r="CG14" s="26" t="s">
        <v>411</v>
      </c>
      <c r="CH14" s="4">
        <v>0.9959100204</v>
      </c>
      <c r="CI14" s="4">
        <v>0.9592156915</v>
      </c>
      <c r="CJ14" s="4">
        <v>0.9961656442</v>
      </c>
      <c r="CK14" s="4">
        <v>0.8963838071</v>
      </c>
      <c r="CL14" s="4">
        <v>0.6951252874</v>
      </c>
      <c r="CM14" s="144">
        <v>0.561</v>
      </c>
      <c r="CN14" s="144">
        <v>0.489</v>
      </c>
      <c r="CO14" s="144">
        <v>0.206</v>
      </c>
      <c r="CP14" s="144">
        <v>0.032</v>
      </c>
      <c r="CQ14" s="25" t="s">
        <v>761</v>
      </c>
      <c r="CR14" s="26" t="s">
        <v>131</v>
      </c>
      <c r="CS14" s="26" t="s">
        <v>762</v>
      </c>
      <c r="CT14" s="26" t="s">
        <v>763</v>
      </c>
      <c r="CU14" s="26" t="s">
        <v>84</v>
      </c>
      <c r="CV14" s="26" t="s">
        <v>678</v>
      </c>
      <c r="CW14" s="26" t="s">
        <v>764</v>
      </c>
      <c r="CX14" s="26" t="s">
        <v>737</v>
      </c>
      <c r="CY14" s="26" t="s">
        <v>469</v>
      </c>
      <c r="CZ14" s="26" t="s">
        <v>149</v>
      </c>
      <c r="DA14" s="26" t="s">
        <v>406</v>
      </c>
      <c r="DB14" s="26" t="s">
        <v>401</v>
      </c>
      <c r="DC14" s="26" t="s">
        <v>702</v>
      </c>
      <c r="DD14" s="26" t="s">
        <v>391</v>
      </c>
      <c r="DE14" s="26" t="s">
        <v>765</v>
      </c>
      <c r="DF14" s="26" t="s">
        <v>766</v>
      </c>
      <c r="DG14" s="26" t="s">
        <v>530</v>
      </c>
      <c r="DH14" s="26" t="s">
        <v>767</v>
      </c>
      <c r="DI14" s="26">
        <v>0.973</v>
      </c>
      <c r="DJ14" s="26" t="s">
        <v>237</v>
      </c>
      <c r="DK14" s="26" t="s">
        <v>215</v>
      </c>
      <c r="DL14" s="26" t="s">
        <v>135</v>
      </c>
      <c r="DM14" s="27" t="s">
        <v>412</v>
      </c>
      <c r="DO14" s="168">
        <f t="shared" ref="DO14:DS14" si="61">IFERROR(AVERAGE(IFERROR(VALUE(C14),""),IFERROR(VALUE(H14),""),IFERROR(VALUE(M14),""),IFERROR(VALUE(R14),""),IFERROR(VALUE(W14),""),IFERROR(VALUE(AB14),"")),"")</f>
        <v>0.7678333333</v>
      </c>
      <c r="DP14" s="169">
        <f t="shared" si="61"/>
        <v>0.7585</v>
      </c>
      <c r="DQ14" s="170">
        <f t="shared" si="61"/>
        <v>0.644</v>
      </c>
      <c r="DR14" s="83">
        <f t="shared" si="61"/>
        <v>0.4775</v>
      </c>
      <c r="DS14" s="171">
        <f t="shared" si="61"/>
        <v>0.1791666667</v>
      </c>
      <c r="DT14" s="172">
        <f t="shared" ref="DT14:DV14" si="62">IFERROR(AVERAGE(IFERROR(VALUE(AG14),""),IFERROR(VALUE(AJ14),""),IFERROR(VALUE(AM14),""),IFERROR(VALUE(AP14),""),IFERROR(VALUE(AS14),"")),"")</f>
        <v>0.368</v>
      </c>
      <c r="DU14" s="41">
        <f t="shared" si="62"/>
        <v>0.674</v>
      </c>
      <c r="DV14" s="173">
        <f t="shared" si="62"/>
        <v>0.6018</v>
      </c>
      <c r="DW14" s="35">
        <f t="shared" ref="DW14:DX14" si="63">IFERROR(AVERAGE(IFERROR(VALUE(AW14),""),IFERROR(VALUE(AZ14),""),IFERROR(VALUE(BC14),""),IFERROR(VALUE(BF14),""),IFERROR(VALUE(BI14),"")),"")</f>
        <v>0.6444</v>
      </c>
      <c r="DX14" s="81">
        <f t="shared" si="63"/>
        <v>0.7472</v>
      </c>
      <c r="DY14" s="455">
        <f t="shared" si="10"/>
        <v>0.9419700068</v>
      </c>
      <c r="DZ14" s="41">
        <f t="shared" si="11"/>
        <v>0.7684431383</v>
      </c>
      <c r="EA14" s="237">
        <f t="shared" si="12"/>
        <v>0.7734331288</v>
      </c>
      <c r="EB14" s="42">
        <f t="shared" si="13"/>
        <v>0.5036767614</v>
      </c>
      <c r="EC14" s="441">
        <f t="shared" si="14"/>
        <v>0.2976250575</v>
      </c>
      <c r="ED14" s="176">
        <f t="shared" si="15"/>
        <v>0.973</v>
      </c>
      <c r="EE14" s="177">
        <f t="shared" ref="EE14:EF14" si="64">IFERROR(AVERAGE(IFERROR(VALUE(CQ14),""),IFERROR(VALUE(CW14),""),IFERROR(VALUE(DC14),""),IFERROR(VALUE(DJ14),"")),"")</f>
        <v>0.83425</v>
      </c>
      <c r="EF14" s="34">
        <f t="shared" si="64"/>
        <v>0.91325</v>
      </c>
      <c r="EG14" s="178">
        <f t="shared" ref="EG14:EH14" si="65">IFERROR(AVERAGE(IFERROR(VALUE(CU14),""),IFERROR(VALUE(DA14),""),IFERROR(VALUE(DG14),""),IFERROR(VALUE(DL14),"")),"")</f>
        <v>0.65175</v>
      </c>
      <c r="EH14" s="48">
        <f t="shared" si="65"/>
        <v>0.5125</v>
      </c>
      <c r="EI14" s="456">
        <f t="shared" ref="EI14:EJ14" si="66">IFERROR(AVERAGE(IFERROR(VALUE(CS14),""),IFERROR(VALUE(CY14),""),IFERROR(VALUE(DE14),"")),"")</f>
        <v>0.6366666667</v>
      </c>
      <c r="EJ14" s="423">
        <f t="shared" si="66"/>
        <v>0.317</v>
      </c>
    </row>
    <row r="15">
      <c r="A15" s="180" t="s">
        <v>413</v>
      </c>
      <c r="B15" s="24" t="s">
        <v>721</v>
      </c>
      <c r="C15" s="181">
        <v>0.9</v>
      </c>
      <c r="D15" s="182" t="s">
        <v>190</v>
      </c>
      <c r="E15" s="182" t="s">
        <v>476</v>
      </c>
      <c r="F15" s="182" t="s">
        <v>186</v>
      </c>
      <c r="G15" s="182" t="s">
        <v>477</v>
      </c>
      <c r="H15" s="182">
        <v>0.772</v>
      </c>
      <c r="I15" s="182" t="s">
        <v>478</v>
      </c>
      <c r="J15" s="182" t="s">
        <v>479</v>
      </c>
      <c r="K15" s="182" t="s">
        <v>366</v>
      </c>
      <c r="L15" s="182" t="s">
        <v>252</v>
      </c>
      <c r="M15" s="182">
        <v>0.75</v>
      </c>
      <c r="N15" s="182" t="s">
        <v>58</v>
      </c>
      <c r="O15" s="182" t="s">
        <v>194</v>
      </c>
      <c r="P15" s="182" t="s">
        <v>294</v>
      </c>
      <c r="Q15" s="182" t="s">
        <v>442</v>
      </c>
      <c r="R15" s="182">
        <v>0.649</v>
      </c>
      <c r="S15" s="182" t="s">
        <v>410</v>
      </c>
      <c r="T15" s="182" t="s">
        <v>299</v>
      </c>
      <c r="U15" s="182" t="s">
        <v>207</v>
      </c>
      <c r="V15" s="182" t="s">
        <v>480</v>
      </c>
      <c r="W15" s="182">
        <v>0.899</v>
      </c>
      <c r="X15" s="182" t="s">
        <v>452</v>
      </c>
      <c r="Y15" s="182" t="s">
        <v>115</v>
      </c>
      <c r="Z15" s="182" t="s">
        <v>481</v>
      </c>
      <c r="AA15" s="182" t="s">
        <v>482</v>
      </c>
      <c r="AB15" s="182">
        <v>0.83</v>
      </c>
      <c r="AC15" s="182" t="s">
        <v>461</v>
      </c>
      <c r="AD15" s="182" t="s">
        <v>378</v>
      </c>
      <c r="AE15" s="182" t="s">
        <v>483</v>
      </c>
      <c r="AF15" s="183" t="s">
        <v>272</v>
      </c>
      <c r="AG15" s="182">
        <v>0.528</v>
      </c>
      <c r="AH15" s="182" t="s">
        <v>484</v>
      </c>
      <c r="AI15" s="182" t="s">
        <v>485</v>
      </c>
      <c r="AJ15" s="182">
        <v>0.129</v>
      </c>
      <c r="AK15" s="182" t="s">
        <v>236</v>
      </c>
      <c r="AL15" s="182" t="s">
        <v>486</v>
      </c>
      <c r="AM15" s="182">
        <v>0.505</v>
      </c>
      <c r="AN15" s="182" t="s">
        <v>487</v>
      </c>
      <c r="AO15" s="182" t="s">
        <v>488</v>
      </c>
      <c r="AP15" s="182">
        <v>0.166</v>
      </c>
      <c r="AQ15" s="182" t="s">
        <v>63</v>
      </c>
      <c r="AR15" s="182" t="s">
        <v>489</v>
      </c>
      <c r="AS15" s="182">
        <v>0.482</v>
      </c>
      <c r="AT15" s="182" t="s">
        <v>490</v>
      </c>
      <c r="AU15" s="182" t="s">
        <v>150</v>
      </c>
      <c r="AV15" s="181"/>
      <c r="AW15" s="182" t="s">
        <v>439</v>
      </c>
      <c r="AX15" s="182" t="s">
        <v>491</v>
      </c>
      <c r="AY15" s="182"/>
      <c r="AZ15" s="182" t="s">
        <v>347</v>
      </c>
      <c r="BA15" s="182" t="s">
        <v>492</v>
      </c>
      <c r="BB15" s="182"/>
      <c r="BC15" s="182" t="s">
        <v>403</v>
      </c>
      <c r="BD15" s="182" t="s">
        <v>493</v>
      </c>
      <c r="BE15" s="182"/>
      <c r="BF15" s="182" t="s">
        <v>268</v>
      </c>
      <c r="BG15" s="182" t="s">
        <v>366</v>
      </c>
      <c r="BH15" s="182"/>
      <c r="BI15" s="182" t="s">
        <v>494</v>
      </c>
      <c r="BJ15" s="182" t="s">
        <v>318</v>
      </c>
      <c r="BK15" s="182"/>
      <c r="BL15" s="457">
        <v>0.749</v>
      </c>
      <c r="BM15" s="457">
        <v>0.849</v>
      </c>
      <c r="BN15" s="182"/>
      <c r="BO15" s="457">
        <v>0.769</v>
      </c>
      <c r="BP15" s="457">
        <v>0.851</v>
      </c>
      <c r="BQ15" s="182"/>
      <c r="BR15" s="182"/>
      <c r="BS15" s="183"/>
      <c r="BT15" s="182">
        <v>0.932</v>
      </c>
      <c r="BU15" s="182" t="s">
        <v>158</v>
      </c>
      <c r="BV15" s="182" t="s">
        <v>495</v>
      </c>
      <c r="BW15" s="182" t="s">
        <v>289</v>
      </c>
      <c r="BX15" s="182" t="s">
        <v>496</v>
      </c>
      <c r="BY15" s="182">
        <v>0.962</v>
      </c>
      <c r="BZ15" s="182" t="s">
        <v>150</v>
      </c>
      <c r="CA15" s="182" t="s">
        <v>497</v>
      </c>
      <c r="CB15" s="182" t="s">
        <v>498</v>
      </c>
      <c r="CC15" s="182" t="s">
        <v>499</v>
      </c>
      <c r="CD15" s="182" t="s">
        <v>500</v>
      </c>
      <c r="CE15" s="182" t="s">
        <v>303</v>
      </c>
      <c r="CF15" s="182" t="s">
        <v>437</v>
      </c>
      <c r="CG15" s="182" t="s">
        <v>217</v>
      </c>
      <c r="CH15" s="397">
        <v>0.9933537832</v>
      </c>
      <c r="CI15" s="397">
        <v>0.9872838721</v>
      </c>
      <c r="CJ15" s="397">
        <v>0.9915644172</v>
      </c>
      <c r="CK15" s="397">
        <v>0.9213359746</v>
      </c>
      <c r="CL15" s="397">
        <v>0.7710512126</v>
      </c>
      <c r="CM15" s="417">
        <v>0.748</v>
      </c>
      <c r="CN15" s="398">
        <v>0.746</v>
      </c>
      <c r="CO15" s="398">
        <v>0.444</v>
      </c>
      <c r="CP15" s="398">
        <v>0.166</v>
      </c>
      <c r="CQ15" s="181" t="s">
        <v>581</v>
      </c>
      <c r="CR15" s="182" t="s">
        <v>501</v>
      </c>
      <c r="CS15" s="182" t="s">
        <v>108</v>
      </c>
      <c r="CT15" s="182" t="s">
        <v>423</v>
      </c>
      <c r="CU15" s="182" t="s">
        <v>765</v>
      </c>
      <c r="CV15" s="182" t="s">
        <v>613</v>
      </c>
      <c r="CW15" s="182" t="s">
        <v>729</v>
      </c>
      <c r="CX15" s="182" t="s">
        <v>768</v>
      </c>
      <c r="CY15" s="182" t="s">
        <v>77</v>
      </c>
      <c r="CZ15" s="182" t="s">
        <v>717</v>
      </c>
      <c r="DA15" s="182" t="s">
        <v>769</v>
      </c>
      <c r="DB15" s="182" t="s">
        <v>770</v>
      </c>
      <c r="DC15" s="182" t="s">
        <v>281</v>
      </c>
      <c r="DD15" s="182" t="s">
        <v>286</v>
      </c>
      <c r="DE15" s="182" t="s">
        <v>211</v>
      </c>
      <c r="DF15" s="182" t="s">
        <v>499</v>
      </c>
      <c r="DG15" s="182" t="s">
        <v>362</v>
      </c>
      <c r="DH15" s="182" t="s">
        <v>771</v>
      </c>
      <c r="DI15" s="182">
        <v>0.984</v>
      </c>
      <c r="DJ15" s="182" t="s">
        <v>501</v>
      </c>
      <c r="DK15" s="182" t="s">
        <v>502</v>
      </c>
      <c r="DL15" s="182" t="s">
        <v>293</v>
      </c>
      <c r="DM15" s="183" t="s">
        <v>135</v>
      </c>
      <c r="DO15" s="418">
        <f t="shared" ref="DO15:DS15" si="67">IFERROR(AVERAGE(IFERROR(VALUE(C15),""),IFERROR(VALUE(H15),""),IFERROR(VALUE(M15),""),IFERROR(VALUE(R15),""),IFERROR(VALUE(W15),""),IFERROR(VALUE(AB15),"")),"")</f>
        <v>0.8</v>
      </c>
      <c r="DP15" s="226">
        <f t="shared" si="67"/>
        <v>0.8093333333</v>
      </c>
      <c r="DQ15" s="227">
        <f t="shared" si="67"/>
        <v>0.7108333333</v>
      </c>
      <c r="DR15" s="130">
        <f t="shared" si="67"/>
        <v>0.5843333333</v>
      </c>
      <c r="DS15" s="250">
        <f t="shared" si="67"/>
        <v>0.3175</v>
      </c>
      <c r="DT15" s="419">
        <f t="shared" ref="DT15:DV15" si="68">IFERROR(AVERAGE(IFERROR(VALUE(AG15),""),IFERROR(VALUE(AJ15),""),IFERROR(VALUE(AM15),""),IFERROR(VALUE(AP15),""),IFERROR(VALUE(AS15),"")),"")</f>
        <v>0.362</v>
      </c>
      <c r="DU15" s="230">
        <f t="shared" si="68"/>
        <v>0.7124</v>
      </c>
      <c r="DV15" s="420">
        <f t="shared" si="68"/>
        <v>0.6154</v>
      </c>
      <c r="DW15" s="216">
        <f t="shared" ref="DW15:DX15" si="69">IFERROR(AVERAGE(IFERROR(VALUE(AW15),""),IFERROR(VALUE(AZ15),""),IFERROR(VALUE(BC15),""),IFERROR(VALUE(BF15),""),IFERROR(VALUE(BI15),"")),"")</f>
        <v>0.6864</v>
      </c>
      <c r="DX15" s="458">
        <f t="shared" si="69"/>
        <v>0.839</v>
      </c>
      <c r="DY15" s="459">
        <f t="shared" si="10"/>
        <v>0.9624512611</v>
      </c>
      <c r="DZ15" s="41">
        <f t="shared" si="11"/>
        <v>0.8334567744</v>
      </c>
      <c r="EA15" s="237">
        <f t="shared" si="12"/>
        <v>0.8201128834</v>
      </c>
      <c r="EB15" s="42">
        <f t="shared" si="13"/>
        <v>0.5886671949</v>
      </c>
      <c r="EC15" s="441">
        <f t="shared" si="14"/>
        <v>0.3692102425</v>
      </c>
      <c r="ED15" s="137">
        <f t="shared" si="15"/>
        <v>0.984</v>
      </c>
      <c r="EE15" s="232">
        <f t="shared" ref="EE15:EF15" si="70">IFERROR(AVERAGE(IFERROR(VALUE(CQ15),""),IFERROR(VALUE(CW15),""),IFERROR(VALUE(DC15),""),IFERROR(VALUE(DJ15),"")),"")</f>
        <v>0.8245</v>
      </c>
      <c r="EF15" s="233">
        <f t="shared" si="70"/>
        <v>0.9235</v>
      </c>
      <c r="EG15" s="234">
        <f t="shared" ref="EG15:EH15" si="71">IFERROR(AVERAGE(IFERROR(VALUE(CU15),""),IFERROR(VALUE(DA15),""),IFERROR(VALUE(DG15),""),IFERROR(VALUE(DL15),"")),"")</f>
        <v>0.63575</v>
      </c>
      <c r="EH15" s="235">
        <f t="shared" si="71"/>
        <v>0.5265</v>
      </c>
      <c r="EI15" s="460">
        <f t="shared" ref="EI15:EJ15" si="72">IFERROR(AVERAGE(IFERROR(VALUE(CS15),""),IFERROR(VALUE(CY15),""),IFERROR(VALUE(DE15),"")),"")</f>
        <v>0.6126666667</v>
      </c>
      <c r="EJ15" s="461">
        <f t="shared" si="72"/>
        <v>0.2636666667</v>
      </c>
    </row>
    <row r="16">
      <c r="A16" s="52"/>
      <c r="B16" s="53" t="s">
        <v>722</v>
      </c>
      <c r="C16" s="25">
        <v>0.906</v>
      </c>
      <c r="D16" s="26" t="s">
        <v>251</v>
      </c>
      <c r="E16" s="26" t="s">
        <v>232</v>
      </c>
      <c r="F16" s="26" t="s">
        <v>452</v>
      </c>
      <c r="G16" s="26" t="s">
        <v>453</v>
      </c>
      <c r="H16" s="26">
        <v>0.78</v>
      </c>
      <c r="I16" s="26" t="s">
        <v>454</v>
      </c>
      <c r="J16" s="26" t="s">
        <v>167</v>
      </c>
      <c r="K16" s="26" t="s">
        <v>455</v>
      </c>
      <c r="L16" s="26" t="s">
        <v>456</v>
      </c>
      <c r="M16" s="26">
        <v>0.752</v>
      </c>
      <c r="N16" s="26" t="s">
        <v>201</v>
      </c>
      <c r="O16" s="26" t="s">
        <v>367</v>
      </c>
      <c r="P16" s="26" t="s">
        <v>457</v>
      </c>
      <c r="Q16" s="26" t="s">
        <v>388</v>
      </c>
      <c r="R16" s="26">
        <v>0.633</v>
      </c>
      <c r="S16" s="26" t="s">
        <v>259</v>
      </c>
      <c r="T16" s="26" t="s">
        <v>458</v>
      </c>
      <c r="U16" s="26" t="s">
        <v>459</v>
      </c>
      <c r="V16" s="26" t="s">
        <v>460</v>
      </c>
      <c r="W16" s="26">
        <v>0.921</v>
      </c>
      <c r="X16" s="26" t="s">
        <v>283</v>
      </c>
      <c r="Y16" s="26" t="s">
        <v>132</v>
      </c>
      <c r="Z16" s="26" t="s">
        <v>375</v>
      </c>
      <c r="AA16" s="26" t="s">
        <v>442</v>
      </c>
      <c r="AB16" s="26">
        <v>0.723</v>
      </c>
      <c r="AC16" s="26" t="s">
        <v>251</v>
      </c>
      <c r="AD16" s="26" t="s">
        <v>87</v>
      </c>
      <c r="AE16" s="26" t="s">
        <v>62</v>
      </c>
      <c r="AF16" s="27" t="s">
        <v>178</v>
      </c>
      <c r="AG16" s="26">
        <v>0.501</v>
      </c>
      <c r="AH16" s="26" t="s">
        <v>443</v>
      </c>
      <c r="AI16" s="26" t="s">
        <v>461</v>
      </c>
      <c r="AJ16" s="26">
        <v>0.12</v>
      </c>
      <c r="AK16" s="26" t="s">
        <v>244</v>
      </c>
      <c r="AL16" s="26" t="s">
        <v>217</v>
      </c>
      <c r="AM16" s="26">
        <v>0.486</v>
      </c>
      <c r="AN16" s="26" t="s">
        <v>265</v>
      </c>
      <c r="AO16" s="26" t="s">
        <v>462</v>
      </c>
      <c r="AP16" s="26">
        <v>0.258</v>
      </c>
      <c r="AQ16" s="26" t="s">
        <v>78</v>
      </c>
      <c r="AR16" s="26" t="s">
        <v>139</v>
      </c>
      <c r="AS16" s="26">
        <v>0.459</v>
      </c>
      <c r="AT16" s="26" t="s">
        <v>241</v>
      </c>
      <c r="AU16" s="26" t="s">
        <v>463</v>
      </c>
      <c r="AV16" s="25"/>
      <c r="AW16" s="26" t="s">
        <v>464</v>
      </c>
      <c r="AX16" s="26" t="s">
        <v>465</v>
      </c>
      <c r="AY16" s="26"/>
      <c r="AZ16" s="26" t="s">
        <v>198</v>
      </c>
      <c r="BA16" s="26" t="s">
        <v>466</v>
      </c>
      <c r="BB16" s="26"/>
      <c r="BC16" s="26" t="s">
        <v>246</v>
      </c>
      <c r="BD16" s="26" t="s">
        <v>452</v>
      </c>
      <c r="BE16" s="26"/>
      <c r="BF16" s="26" t="s">
        <v>464</v>
      </c>
      <c r="BG16" s="26" t="s">
        <v>167</v>
      </c>
      <c r="BH16" s="26"/>
      <c r="BI16" s="26" t="s">
        <v>467</v>
      </c>
      <c r="BJ16" s="26" t="s">
        <v>468</v>
      </c>
      <c r="BK16" s="26"/>
      <c r="BL16" s="26" t="s">
        <v>707</v>
      </c>
      <c r="BM16" s="26" t="s">
        <v>317</v>
      </c>
      <c r="BN16" s="26"/>
      <c r="BO16" s="72">
        <v>0.738</v>
      </c>
      <c r="BP16" s="72">
        <v>0.838</v>
      </c>
      <c r="BQ16" s="26"/>
      <c r="BR16" s="72">
        <v>0.743</v>
      </c>
      <c r="BS16" s="146">
        <v>0.764</v>
      </c>
      <c r="BT16" s="26">
        <v>0.914</v>
      </c>
      <c r="BU16" s="26" t="s">
        <v>469</v>
      </c>
      <c r="BV16" s="26" t="s">
        <v>331</v>
      </c>
      <c r="BW16" s="26" t="s">
        <v>164</v>
      </c>
      <c r="BX16" s="26" t="s">
        <v>470</v>
      </c>
      <c r="BY16" s="26">
        <v>0.94</v>
      </c>
      <c r="BZ16" s="26" t="s">
        <v>464</v>
      </c>
      <c r="CA16" s="26" t="s">
        <v>91</v>
      </c>
      <c r="CB16" s="26" t="s">
        <v>72</v>
      </c>
      <c r="CC16" s="26" t="s">
        <v>68</v>
      </c>
      <c r="CD16" s="26" t="s">
        <v>471</v>
      </c>
      <c r="CE16" s="26" t="s">
        <v>82</v>
      </c>
      <c r="CF16" s="26" t="s">
        <v>332</v>
      </c>
      <c r="CG16" s="26" t="s">
        <v>472</v>
      </c>
      <c r="CH16" s="4">
        <v>0.9913087935</v>
      </c>
      <c r="CI16" s="4">
        <v>0.9637194789</v>
      </c>
      <c r="CJ16" s="4">
        <v>0.98900818</v>
      </c>
      <c r="CK16" s="4">
        <v>0.903314342</v>
      </c>
      <c r="CL16" s="4">
        <v>0.6834013812</v>
      </c>
      <c r="CM16" s="144">
        <v>0.717</v>
      </c>
      <c r="CN16" s="144">
        <v>0.726</v>
      </c>
      <c r="CO16" s="144">
        <v>0.443</v>
      </c>
      <c r="CP16" s="144">
        <v>0.183</v>
      </c>
      <c r="CQ16" s="25" t="s">
        <v>468</v>
      </c>
      <c r="CR16" s="26" t="s">
        <v>461</v>
      </c>
      <c r="CS16" s="26" t="s">
        <v>363</v>
      </c>
      <c r="CT16" s="26" t="s">
        <v>188</v>
      </c>
      <c r="CU16" s="26" t="s">
        <v>772</v>
      </c>
      <c r="CV16" s="26" t="s">
        <v>498</v>
      </c>
      <c r="CW16" s="26" t="s">
        <v>773</v>
      </c>
      <c r="CX16" s="26" t="s">
        <v>685</v>
      </c>
      <c r="CY16" s="26" t="s">
        <v>524</v>
      </c>
      <c r="CZ16" s="26" t="s">
        <v>774</v>
      </c>
      <c r="DA16" s="26" t="s">
        <v>251</v>
      </c>
      <c r="DB16" s="26" t="s">
        <v>527</v>
      </c>
      <c r="DC16" s="26" t="s">
        <v>240</v>
      </c>
      <c r="DD16" s="26" t="s">
        <v>775</v>
      </c>
      <c r="DE16" s="26" t="s">
        <v>224</v>
      </c>
      <c r="DF16" s="26" t="s">
        <v>136</v>
      </c>
      <c r="DG16" s="26" t="s">
        <v>776</v>
      </c>
      <c r="DH16" s="26" t="s">
        <v>777</v>
      </c>
      <c r="DI16" s="26">
        <v>0.982</v>
      </c>
      <c r="DJ16" s="26" t="s">
        <v>454</v>
      </c>
      <c r="DK16" s="26" t="s">
        <v>473</v>
      </c>
      <c r="DL16" s="26" t="s">
        <v>474</v>
      </c>
      <c r="DM16" s="27" t="s">
        <v>262</v>
      </c>
      <c r="DO16" s="208">
        <f t="shared" ref="DO16:DS16" si="73">IFERROR(AVERAGE(IFERROR(VALUE(C16),""),IFERROR(VALUE(H16),""),IFERROR(VALUE(M16),""),IFERROR(VALUE(R16),""),IFERROR(VALUE(W16),""),IFERROR(VALUE(AB16),"")),"")</f>
        <v>0.7858333333</v>
      </c>
      <c r="DP16" s="70">
        <f t="shared" si="73"/>
        <v>0.7993333333</v>
      </c>
      <c r="DQ16" s="209">
        <f t="shared" si="73"/>
        <v>0.7183333333</v>
      </c>
      <c r="DR16" s="134">
        <f t="shared" si="73"/>
        <v>0.5633333333</v>
      </c>
      <c r="DS16" s="210">
        <f t="shared" si="73"/>
        <v>0.2831666667</v>
      </c>
      <c r="DT16" s="211">
        <f t="shared" ref="DT16:DV16" si="74">IFERROR(AVERAGE(IFERROR(VALUE(AG16),""),IFERROR(VALUE(AJ16),""),IFERROR(VALUE(AM16),""),IFERROR(VALUE(AP16),""),IFERROR(VALUE(AS16),"")),"")</f>
        <v>0.3648</v>
      </c>
      <c r="DU16" s="212">
        <f t="shared" si="74"/>
        <v>0.6952</v>
      </c>
      <c r="DV16" s="39">
        <f t="shared" si="74"/>
        <v>0.6196</v>
      </c>
      <c r="DW16" s="216">
        <f t="shared" ref="DW16:DX16" si="75">IFERROR(AVERAGE(IFERROR(VALUE(AW16),""),IFERROR(VALUE(AZ16),""),IFERROR(VALUE(BC16),""),IFERROR(VALUE(BF16),""),IFERROR(VALUE(BI16),"")),"")</f>
        <v>0.6862</v>
      </c>
      <c r="DX16" s="462">
        <f t="shared" si="75"/>
        <v>0.8242</v>
      </c>
      <c r="DY16" s="393">
        <f t="shared" si="10"/>
        <v>0.9484362645</v>
      </c>
      <c r="DZ16" s="41">
        <f t="shared" si="11"/>
        <v>0.8137438958</v>
      </c>
      <c r="EA16" s="237">
        <f t="shared" si="12"/>
        <v>0.790201636</v>
      </c>
      <c r="EB16" s="42">
        <f t="shared" si="13"/>
        <v>0.5820628684</v>
      </c>
      <c r="EC16" s="441">
        <f t="shared" si="14"/>
        <v>0.3548802762</v>
      </c>
      <c r="ED16" s="219">
        <f t="shared" si="15"/>
        <v>0.982</v>
      </c>
      <c r="EE16" s="220">
        <f t="shared" ref="EE16:EF16" si="76">IFERROR(AVERAGE(IFERROR(VALUE(CQ16),""),IFERROR(VALUE(CW16),""),IFERROR(VALUE(DC16),""),IFERROR(VALUE(DJ16),"")),"")</f>
        <v>0.81625</v>
      </c>
      <c r="EF16" s="221">
        <f t="shared" si="76"/>
        <v>0.921</v>
      </c>
      <c r="EG16" s="222">
        <f t="shared" ref="EG16:EH16" si="77">IFERROR(AVERAGE(IFERROR(VALUE(CU16),""),IFERROR(VALUE(DA16),""),IFERROR(VALUE(DG16),""),IFERROR(VALUE(DL16),"")),"")</f>
        <v>0.621</v>
      </c>
      <c r="EH16" s="150">
        <f t="shared" si="77"/>
        <v>0.48675</v>
      </c>
      <c r="EI16" s="463">
        <f t="shared" ref="EI16:EJ16" si="78">IFERROR(AVERAGE(IFERROR(VALUE(CS16),""),IFERROR(VALUE(CY16),""),IFERROR(VALUE(DE16),"")),"")</f>
        <v>0.6066666667</v>
      </c>
      <c r="EJ16" s="454">
        <f t="shared" si="78"/>
        <v>0.2863333333</v>
      </c>
    </row>
    <row r="17">
      <c r="A17" s="52"/>
      <c r="B17" s="53" t="s">
        <v>414</v>
      </c>
      <c r="C17" s="25">
        <v>0.708</v>
      </c>
      <c r="D17" s="26" t="s">
        <v>415</v>
      </c>
      <c r="E17" s="26" t="s">
        <v>416</v>
      </c>
      <c r="F17" s="26" t="s">
        <v>417</v>
      </c>
      <c r="G17" s="26" t="s">
        <v>152</v>
      </c>
      <c r="H17" s="26">
        <v>0.235</v>
      </c>
      <c r="I17" s="26" t="s">
        <v>194</v>
      </c>
      <c r="J17" s="26" t="s">
        <v>418</v>
      </c>
      <c r="K17" s="26" t="s">
        <v>419</v>
      </c>
      <c r="L17" s="26" t="s">
        <v>420</v>
      </c>
      <c r="M17" s="26">
        <v>0.732</v>
      </c>
      <c r="N17" s="26" t="s">
        <v>128</v>
      </c>
      <c r="O17" s="26" t="s">
        <v>421</v>
      </c>
      <c r="P17" s="26" t="s">
        <v>422</v>
      </c>
      <c r="Q17" s="26" t="s">
        <v>423</v>
      </c>
      <c r="R17" s="26">
        <v>0.566</v>
      </c>
      <c r="S17" s="26" t="s">
        <v>198</v>
      </c>
      <c r="T17" s="26" t="s">
        <v>424</v>
      </c>
      <c r="U17" s="26" t="s">
        <v>425</v>
      </c>
      <c r="V17" s="26" t="s">
        <v>426</v>
      </c>
      <c r="W17" s="26">
        <v>0.799</v>
      </c>
      <c r="X17" s="26" t="s">
        <v>94</v>
      </c>
      <c r="Y17" s="26" t="s">
        <v>427</v>
      </c>
      <c r="Z17" s="26" t="s">
        <v>428</v>
      </c>
      <c r="AA17" s="26" t="s">
        <v>429</v>
      </c>
      <c r="AB17" s="26">
        <v>0.868</v>
      </c>
      <c r="AC17" s="26" t="s">
        <v>430</v>
      </c>
      <c r="AD17" s="26" t="s">
        <v>431</v>
      </c>
      <c r="AE17" s="26" t="s">
        <v>307</v>
      </c>
      <c r="AF17" s="27" t="s">
        <v>432</v>
      </c>
      <c r="AG17" s="26">
        <v>0.343</v>
      </c>
      <c r="AH17" s="26" t="s">
        <v>137</v>
      </c>
      <c r="AI17" s="26" t="s">
        <v>214</v>
      </c>
      <c r="AJ17" s="26">
        <v>0.06</v>
      </c>
      <c r="AK17" s="26" t="s">
        <v>119</v>
      </c>
      <c r="AL17" s="26" t="s">
        <v>433</v>
      </c>
      <c r="AM17" s="26">
        <v>0.398</v>
      </c>
      <c r="AN17" s="26" t="s">
        <v>434</v>
      </c>
      <c r="AO17" s="26" t="s">
        <v>435</v>
      </c>
      <c r="AP17" s="26">
        <v>0.145</v>
      </c>
      <c r="AQ17" s="26" t="s">
        <v>436</v>
      </c>
      <c r="AR17" s="26" t="s">
        <v>311</v>
      </c>
      <c r="AS17" s="26">
        <v>0.285</v>
      </c>
      <c r="AT17" s="26" t="s">
        <v>323</v>
      </c>
      <c r="AU17" s="26" t="s">
        <v>437</v>
      </c>
      <c r="AV17" s="25"/>
      <c r="AW17" s="26" t="s">
        <v>402</v>
      </c>
      <c r="AX17" s="26" t="s">
        <v>302</v>
      </c>
      <c r="AY17" s="26"/>
      <c r="AZ17" s="26" t="s">
        <v>438</v>
      </c>
      <c r="BA17" s="26" t="s">
        <v>439</v>
      </c>
      <c r="BB17" s="26"/>
      <c r="BC17" s="26" t="s">
        <v>440</v>
      </c>
      <c r="BD17" s="26" t="s">
        <v>193</v>
      </c>
      <c r="BE17" s="26"/>
      <c r="BF17" s="26" t="s">
        <v>289</v>
      </c>
      <c r="BG17" s="26" t="s">
        <v>356</v>
      </c>
      <c r="BH17" s="26"/>
      <c r="BI17" s="26" t="s">
        <v>303</v>
      </c>
      <c r="BJ17" s="26" t="s">
        <v>164</v>
      </c>
      <c r="BK17" s="26"/>
      <c r="BL17" s="26"/>
      <c r="BM17" s="26"/>
      <c r="BN17" s="26"/>
      <c r="BO17" s="26"/>
      <c r="BP17" s="26"/>
      <c r="BQ17" s="26"/>
      <c r="BR17" s="26"/>
      <c r="BS17" s="27"/>
      <c r="BT17" s="26">
        <v>0.892</v>
      </c>
      <c r="BU17" s="26" t="s">
        <v>441</v>
      </c>
      <c r="BV17" s="26" t="s">
        <v>244</v>
      </c>
      <c r="BW17" s="26" t="s">
        <v>138</v>
      </c>
      <c r="BX17" s="26" t="s">
        <v>442</v>
      </c>
      <c r="BY17" s="26">
        <v>0.909</v>
      </c>
      <c r="BZ17" s="26" t="s">
        <v>443</v>
      </c>
      <c r="CA17" s="26" t="s">
        <v>444</v>
      </c>
      <c r="CB17" s="26" t="s">
        <v>445</v>
      </c>
      <c r="CC17" s="26" t="s">
        <v>57</v>
      </c>
      <c r="CD17" s="26" t="s">
        <v>238</v>
      </c>
      <c r="CE17" s="26" t="s">
        <v>446</v>
      </c>
      <c r="CF17" s="26" t="s">
        <v>447</v>
      </c>
      <c r="CG17" s="26" t="s">
        <v>448</v>
      </c>
      <c r="CH17" s="4">
        <v>0.9877300613</v>
      </c>
      <c r="CI17" s="4">
        <v>0.9664810554</v>
      </c>
      <c r="CJ17" s="4">
        <v>0.9746932515</v>
      </c>
      <c r="CK17" s="4">
        <v>0.8629190686</v>
      </c>
      <c r="CL17" s="4">
        <v>0.6243669771</v>
      </c>
      <c r="CM17" s="144">
        <v>0.611</v>
      </c>
      <c r="CN17" s="144">
        <v>0.535</v>
      </c>
      <c r="CO17" s="144">
        <v>0.27</v>
      </c>
      <c r="CP17" s="144">
        <v>0.074</v>
      </c>
      <c r="CQ17" s="25" t="s">
        <v>390</v>
      </c>
      <c r="CR17" s="26" t="s">
        <v>291</v>
      </c>
      <c r="CS17" s="26" t="s">
        <v>778</v>
      </c>
      <c r="CT17" s="26" t="s">
        <v>751</v>
      </c>
      <c r="CU17" s="26" t="s">
        <v>779</v>
      </c>
      <c r="CV17" s="26" t="s">
        <v>780</v>
      </c>
      <c r="CW17" s="26" t="s">
        <v>732</v>
      </c>
      <c r="CX17" s="26" t="s">
        <v>115</v>
      </c>
      <c r="CY17" s="26" t="s">
        <v>96</v>
      </c>
      <c r="CZ17" s="26" t="s">
        <v>781</v>
      </c>
      <c r="DA17" s="26" t="s">
        <v>171</v>
      </c>
      <c r="DB17" s="26" t="s">
        <v>782</v>
      </c>
      <c r="DC17" s="26" t="s">
        <v>285</v>
      </c>
      <c r="DD17" s="26" t="s">
        <v>350</v>
      </c>
      <c r="DE17" s="26" t="s">
        <v>546</v>
      </c>
      <c r="DF17" s="26" t="s">
        <v>226</v>
      </c>
      <c r="DG17" s="26" t="s">
        <v>120</v>
      </c>
      <c r="DH17" s="26" t="s">
        <v>783</v>
      </c>
      <c r="DI17" s="26">
        <v>0.966</v>
      </c>
      <c r="DJ17" s="26" t="s">
        <v>449</v>
      </c>
      <c r="DK17" s="26" t="s">
        <v>450</v>
      </c>
      <c r="DL17" s="26" t="s">
        <v>437</v>
      </c>
      <c r="DM17" s="27" t="s">
        <v>133</v>
      </c>
      <c r="DO17" s="82">
        <f t="shared" ref="DO17:DS17" si="79">IFERROR(AVERAGE(IFERROR(VALUE(C17),""),IFERROR(VALUE(H17),""),IFERROR(VALUE(M17),""),IFERROR(VALUE(R17),""),IFERROR(VALUE(W17),""),IFERROR(VALUE(AB17),"")),"")</f>
        <v>0.6513333333</v>
      </c>
      <c r="DP17" s="35">
        <f t="shared" si="79"/>
        <v>0.7206666667</v>
      </c>
      <c r="DQ17" s="424">
        <f t="shared" si="79"/>
        <v>0.517</v>
      </c>
      <c r="DR17" s="34">
        <f t="shared" si="79"/>
        <v>0.4856666667</v>
      </c>
      <c r="DS17" s="425">
        <f t="shared" si="79"/>
        <v>0.268</v>
      </c>
      <c r="DT17" s="426">
        <f t="shared" ref="DT17:DV17" si="80">IFERROR(AVERAGE(IFERROR(VALUE(AG17),""),IFERROR(VALUE(AJ17),""),IFERROR(VALUE(AM17),""),IFERROR(VALUE(AP17),""),IFERROR(VALUE(AS17),"")),"")</f>
        <v>0.2462</v>
      </c>
      <c r="DU17" s="41">
        <f t="shared" si="80"/>
        <v>0.6698</v>
      </c>
      <c r="DV17" s="427">
        <f t="shared" si="80"/>
        <v>0.5176</v>
      </c>
      <c r="DW17" s="80">
        <f t="shared" ref="DW17:DX17" si="81">IFERROR(AVERAGE(IFERROR(VALUE(AW17),""),IFERROR(VALUE(AZ17),""),IFERROR(VALUE(BC17),""),IFERROR(VALUE(BF17),""),IFERROR(VALUE(BI17),"")),"")</f>
        <v>0.6316</v>
      </c>
      <c r="DX17" s="427">
        <f t="shared" si="81"/>
        <v>0.6708</v>
      </c>
      <c r="DY17" s="464">
        <f t="shared" si="10"/>
        <v>0.9295766871</v>
      </c>
      <c r="DZ17" s="41">
        <f t="shared" si="11"/>
        <v>0.7648962111</v>
      </c>
      <c r="EA17" s="237">
        <f t="shared" si="12"/>
        <v>0.7077386503</v>
      </c>
      <c r="EB17" s="42">
        <f t="shared" si="13"/>
        <v>0.4851838137</v>
      </c>
      <c r="EC17" s="441">
        <f t="shared" si="14"/>
        <v>0.2722733954</v>
      </c>
      <c r="ED17" s="91">
        <f t="shared" si="15"/>
        <v>0.966</v>
      </c>
      <c r="EE17" s="35">
        <f t="shared" ref="EE17:EF17" si="82">IFERROR(AVERAGE(IFERROR(VALUE(CQ17),""),IFERROR(VALUE(CW17),""),IFERROR(VALUE(DC17),""),IFERROR(VALUE(DJ17),"")),"")</f>
        <v>0.7635</v>
      </c>
      <c r="EF17" s="404">
        <f t="shared" si="82"/>
        <v>0.78975</v>
      </c>
      <c r="EG17" s="80">
        <f t="shared" ref="EG17:EH17" si="83">IFERROR(AVERAGE(IFERROR(VALUE(CU17),""),IFERROR(VALUE(DA17),""),IFERROR(VALUE(DG17),""),IFERROR(VALUE(DL17),"")),"")</f>
        <v>0.489</v>
      </c>
      <c r="EH17" s="264">
        <f t="shared" si="83"/>
        <v>0.339</v>
      </c>
      <c r="EI17" s="80">
        <f t="shared" ref="EI17:EJ17" si="84">IFERROR(AVERAGE(IFERROR(VALUE(CS17),""),IFERROR(VALUE(CY17),""),IFERROR(VALUE(DE17),"")),"")</f>
        <v>0.5396666667</v>
      </c>
      <c r="EJ17" s="151">
        <f t="shared" si="84"/>
        <v>0.1446666667</v>
      </c>
    </row>
    <row r="18">
      <c r="A18" s="52"/>
      <c r="B18" s="53" t="s">
        <v>723</v>
      </c>
      <c r="C18" s="25">
        <v>0.917</v>
      </c>
      <c r="D18" s="26" t="s">
        <v>163</v>
      </c>
      <c r="E18" s="26" t="s">
        <v>504</v>
      </c>
      <c r="F18" s="26" t="s">
        <v>505</v>
      </c>
      <c r="G18" s="26" t="s">
        <v>121</v>
      </c>
      <c r="H18" s="26">
        <v>0.782</v>
      </c>
      <c r="I18" s="26" t="s">
        <v>506</v>
      </c>
      <c r="J18" s="26" t="s">
        <v>329</v>
      </c>
      <c r="K18" s="26" t="s">
        <v>396</v>
      </c>
      <c r="L18" s="26" t="s">
        <v>507</v>
      </c>
      <c r="M18" s="26">
        <v>0.741</v>
      </c>
      <c r="N18" s="26" t="s">
        <v>326</v>
      </c>
      <c r="O18" s="26" t="s">
        <v>508</v>
      </c>
      <c r="P18" s="26" t="s">
        <v>509</v>
      </c>
      <c r="Q18" s="26" t="s">
        <v>354</v>
      </c>
      <c r="R18" s="26">
        <v>0.637</v>
      </c>
      <c r="S18" s="26" t="s">
        <v>164</v>
      </c>
      <c r="T18" s="26" t="s">
        <v>510</v>
      </c>
      <c r="U18" s="26" t="s">
        <v>511</v>
      </c>
      <c r="V18" s="26" t="s">
        <v>512</v>
      </c>
      <c r="W18" s="26">
        <v>0.906</v>
      </c>
      <c r="X18" s="26" t="s">
        <v>513</v>
      </c>
      <c r="Y18" s="26" t="s">
        <v>514</v>
      </c>
      <c r="Z18" s="26" t="s">
        <v>515</v>
      </c>
      <c r="AA18" s="26" t="s">
        <v>516</v>
      </c>
      <c r="AB18" s="26">
        <v>0.728</v>
      </c>
      <c r="AC18" s="26" t="s">
        <v>290</v>
      </c>
      <c r="AD18" s="26" t="s">
        <v>508</v>
      </c>
      <c r="AE18" s="26" t="s">
        <v>517</v>
      </c>
      <c r="AF18" s="27" t="s">
        <v>518</v>
      </c>
      <c r="AG18" s="26">
        <v>0.513</v>
      </c>
      <c r="AH18" s="26" t="s">
        <v>484</v>
      </c>
      <c r="AI18" s="26" t="s">
        <v>519</v>
      </c>
      <c r="AJ18" s="26">
        <v>0.098</v>
      </c>
      <c r="AK18" s="26" t="s">
        <v>520</v>
      </c>
      <c r="AL18" s="26" t="s">
        <v>253</v>
      </c>
      <c r="AM18" s="26">
        <v>0.457</v>
      </c>
      <c r="AN18" s="26" t="s">
        <v>521</v>
      </c>
      <c r="AO18" s="26" t="s">
        <v>522</v>
      </c>
      <c r="AP18" s="26">
        <v>0.215</v>
      </c>
      <c r="AQ18" s="26" t="s">
        <v>410</v>
      </c>
      <c r="AR18" s="26" t="s">
        <v>55</v>
      </c>
      <c r="AS18" s="26">
        <v>0.489</v>
      </c>
      <c r="AT18" s="26" t="s">
        <v>523</v>
      </c>
      <c r="AU18" s="26" t="s">
        <v>524</v>
      </c>
      <c r="AV18" s="25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7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4"/>
      <c r="CI18" s="4"/>
      <c r="CJ18" s="4"/>
      <c r="CK18" s="4"/>
      <c r="CL18" s="4"/>
      <c r="CM18" s="4"/>
      <c r="CN18" s="4"/>
      <c r="CO18" s="4"/>
      <c r="CP18" s="4"/>
      <c r="CQ18" s="25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7"/>
      <c r="DO18" s="239">
        <f t="shared" ref="DO18:DS18" si="85">IFERROR(AVERAGE(IFERROR(VALUE(C18),""),IFERROR(VALUE(H18),""),IFERROR(VALUE(M18),""),IFERROR(VALUE(R18),""),IFERROR(VALUE(W18),""),IFERROR(VALUE(AB18),"")),"")</f>
        <v>0.7851666667</v>
      </c>
      <c r="DP18" s="217">
        <f t="shared" si="85"/>
        <v>0.8001666667</v>
      </c>
      <c r="DQ18" s="240">
        <f t="shared" si="85"/>
        <v>0.7083333333</v>
      </c>
      <c r="DR18" s="241">
        <f t="shared" si="85"/>
        <v>0.5515</v>
      </c>
      <c r="DS18" s="242">
        <f t="shared" si="85"/>
        <v>0.2806666667</v>
      </c>
      <c r="DT18" s="243">
        <f t="shared" ref="DT18:DV18" si="86">IFERROR(AVERAGE(IFERROR(VALUE(AG18),""),IFERROR(VALUE(AJ18),""),IFERROR(VALUE(AM18),""),IFERROR(VALUE(AP18),""),IFERROR(VALUE(AS18),"")),"")</f>
        <v>0.3544</v>
      </c>
      <c r="DU18" s="244">
        <f t="shared" si="86"/>
        <v>0.6936</v>
      </c>
      <c r="DV18" s="173">
        <f t="shared" si="86"/>
        <v>0.6058</v>
      </c>
      <c r="DW18" s="5"/>
      <c r="DX18" s="20"/>
      <c r="DY18" s="145"/>
      <c r="DZ18" s="41"/>
      <c r="EA18" s="237"/>
      <c r="EB18" s="42"/>
      <c r="EC18" s="441"/>
      <c r="ED18" s="145"/>
      <c r="EE18" s="4"/>
      <c r="EF18" s="4"/>
      <c r="EG18" s="4"/>
      <c r="EH18" s="4"/>
      <c r="EI18" s="5"/>
      <c r="EJ18" s="20"/>
    </row>
    <row r="19">
      <c r="A19" s="52"/>
      <c r="B19" s="53" t="s">
        <v>724</v>
      </c>
      <c r="C19" s="25">
        <v>0.903</v>
      </c>
      <c r="D19" s="26" t="s">
        <v>526</v>
      </c>
      <c r="E19" s="26" t="s">
        <v>86</v>
      </c>
      <c r="F19" s="26" t="s">
        <v>527</v>
      </c>
      <c r="G19" s="26" t="s">
        <v>255</v>
      </c>
      <c r="H19" s="26">
        <v>0.775</v>
      </c>
      <c r="I19" s="26" t="s">
        <v>528</v>
      </c>
      <c r="J19" s="26" t="s">
        <v>140</v>
      </c>
      <c r="K19" s="26" t="s">
        <v>104</v>
      </c>
      <c r="L19" s="26" t="s">
        <v>72</v>
      </c>
      <c r="M19" s="26">
        <v>0.741</v>
      </c>
      <c r="N19" s="26" t="s">
        <v>484</v>
      </c>
      <c r="O19" s="26" t="s">
        <v>412</v>
      </c>
      <c r="P19" s="26" t="s">
        <v>488</v>
      </c>
      <c r="Q19" s="26" t="s">
        <v>472</v>
      </c>
      <c r="R19" s="26">
        <v>0.632</v>
      </c>
      <c r="S19" s="26" t="s">
        <v>259</v>
      </c>
      <c r="T19" s="26" t="s">
        <v>182</v>
      </c>
      <c r="U19" s="26" t="s">
        <v>161</v>
      </c>
      <c r="V19" s="26" t="s">
        <v>529</v>
      </c>
      <c r="W19" s="26">
        <v>0.921</v>
      </c>
      <c r="X19" s="26" t="s">
        <v>77</v>
      </c>
      <c r="Y19" s="26" t="s">
        <v>116</v>
      </c>
      <c r="Z19" s="26" t="s">
        <v>467</v>
      </c>
      <c r="AA19" s="26" t="s">
        <v>530</v>
      </c>
      <c r="AB19" s="26">
        <v>0.762</v>
      </c>
      <c r="AC19" s="26" t="s">
        <v>531</v>
      </c>
      <c r="AD19" s="26" t="s">
        <v>143</v>
      </c>
      <c r="AE19" s="26" t="s">
        <v>62</v>
      </c>
      <c r="AF19" s="27" t="s">
        <v>178</v>
      </c>
      <c r="AG19" s="26">
        <v>0.522</v>
      </c>
      <c r="AH19" s="26" t="s">
        <v>117</v>
      </c>
      <c r="AI19" s="26" t="s">
        <v>163</v>
      </c>
      <c r="AJ19" s="26">
        <v>0.105</v>
      </c>
      <c r="AK19" s="26" t="s">
        <v>135</v>
      </c>
      <c r="AL19" s="26" t="s">
        <v>532</v>
      </c>
      <c r="AM19" s="26">
        <v>0.424</v>
      </c>
      <c r="AN19" s="26" t="s">
        <v>533</v>
      </c>
      <c r="AO19" s="26" t="s">
        <v>534</v>
      </c>
      <c r="AP19" s="26">
        <v>0.256</v>
      </c>
      <c r="AQ19" s="26" t="s">
        <v>164</v>
      </c>
      <c r="AR19" s="26" t="s">
        <v>535</v>
      </c>
      <c r="AS19" s="26">
        <v>0.458</v>
      </c>
      <c r="AT19" s="26" t="s">
        <v>536</v>
      </c>
      <c r="AU19" s="26" t="s">
        <v>479</v>
      </c>
      <c r="AV19" s="25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7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4"/>
      <c r="CI19" s="4"/>
      <c r="CJ19" s="4"/>
      <c r="CK19" s="4"/>
      <c r="CL19" s="4"/>
      <c r="CM19" s="4"/>
      <c r="CN19" s="4"/>
      <c r="CO19" s="4"/>
      <c r="CP19" s="4"/>
      <c r="CQ19" s="25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7"/>
      <c r="DO19" s="249">
        <f t="shared" ref="DO19:DS19" si="87">IFERROR(AVERAGE(IFERROR(VALUE(C19),""),IFERROR(VALUE(H19),""),IFERROR(VALUE(M19),""),IFERROR(VALUE(R19),""),IFERROR(VALUE(W19),""),IFERROR(VALUE(AB19),"")),"")</f>
        <v>0.789</v>
      </c>
      <c r="DP19" s="223">
        <f t="shared" si="87"/>
        <v>0.8065</v>
      </c>
      <c r="DQ19" s="135">
        <f t="shared" si="87"/>
        <v>0.7041666667</v>
      </c>
      <c r="DR19" s="89">
        <f t="shared" si="87"/>
        <v>0.5785</v>
      </c>
      <c r="DS19" s="250">
        <f t="shared" si="87"/>
        <v>0.318</v>
      </c>
      <c r="DT19" s="91">
        <f t="shared" ref="DT19:DV19" si="88">IFERROR(AVERAGE(IFERROR(VALUE(AG19),""),IFERROR(VALUE(AJ19),""),IFERROR(VALUE(AM19),""),IFERROR(VALUE(AP19),""),IFERROR(VALUE(AS19),"")),"")</f>
        <v>0.353</v>
      </c>
      <c r="DU19" s="251">
        <f t="shared" si="88"/>
        <v>0.694</v>
      </c>
      <c r="DV19" s="153">
        <f t="shared" si="88"/>
        <v>0.598</v>
      </c>
      <c r="DW19" s="5"/>
      <c r="DX19" s="20"/>
      <c r="DY19" s="145"/>
      <c r="DZ19" s="41"/>
      <c r="EA19" s="237"/>
      <c r="EB19" s="42"/>
      <c r="EC19" s="441"/>
      <c r="ED19" s="145"/>
      <c r="EE19" s="4"/>
      <c r="EF19" s="4"/>
      <c r="EG19" s="4"/>
      <c r="EH19" s="4"/>
      <c r="EI19" s="5"/>
      <c r="EJ19" s="20"/>
    </row>
    <row r="20" hidden="1">
      <c r="A20" s="52"/>
      <c r="B20" s="53" t="s">
        <v>704</v>
      </c>
      <c r="C20" s="25">
        <v>0.85</v>
      </c>
      <c r="D20" s="26" t="s">
        <v>431</v>
      </c>
      <c r="E20" s="26" t="s">
        <v>688</v>
      </c>
      <c r="F20" s="26" t="s">
        <v>55</v>
      </c>
      <c r="G20" s="26" t="s">
        <v>705</v>
      </c>
      <c r="H20" s="26">
        <v>0.738</v>
      </c>
      <c r="I20" s="26" t="s">
        <v>706</v>
      </c>
      <c r="J20" s="26" t="s">
        <v>707</v>
      </c>
      <c r="K20" s="26" t="s">
        <v>513</v>
      </c>
      <c r="L20" s="26" t="s">
        <v>340</v>
      </c>
      <c r="M20" s="26">
        <v>0.737</v>
      </c>
      <c r="N20" s="26" t="s">
        <v>99</v>
      </c>
      <c r="O20" s="26" t="s">
        <v>84</v>
      </c>
      <c r="P20" s="26" t="s">
        <v>67</v>
      </c>
      <c r="Q20" s="26" t="s">
        <v>708</v>
      </c>
      <c r="R20" s="26">
        <v>0.628</v>
      </c>
      <c r="S20" s="26" t="s">
        <v>90</v>
      </c>
      <c r="T20" s="26" t="s">
        <v>447</v>
      </c>
      <c r="U20" s="26" t="s">
        <v>65</v>
      </c>
      <c r="V20" s="26" t="s">
        <v>709</v>
      </c>
      <c r="W20" s="26">
        <v>0.899</v>
      </c>
      <c r="X20" s="26" t="s">
        <v>58</v>
      </c>
      <c r="Y20" s="26" t="s">
        <v>493</v>
      </c>
      <c r="Z20" s="26" t="s">
        <v>623</v>
      </c>
      <c r="AA20" s="26" t="s">
        <v>710</v>
      </c>
      <c r="AB20" s="26"/>
      <c r="AC20" s="26"/>
      <c r="AD20" s="26"/>
      <c r="AE20" s="26"/>
      <c r="AF20" s="27"/>
      <c r="AG20" s="26">
        <v>0.526</v>
      </c>
      <c r="AH20" s="26" t="s">
        <v>62</v>
      </c>
      <c r="AI20" s="26" t="s">
        <v>630</v>
      </c>
      <c r="AJ20" s="26">
        <v>0.116</v>
      </c>
      <c r="AK20" s="26" t="s">
        <v>711</v>
      </c>
      <c r="AL20" s="26"/>
      <c r="AM20" s="26">
        <v>0.452</v>
      </c>
      <c r="AN20" s="26" t="s">
        <v>369</v>
      </c>
      <c r="AO20" s="26" t="s">
        <v>712</v>
      </c>
      <c r="AP20" s="26"/>
      <c r="AQ20" s="26"/>
      <c r="AR20" s="26"/>
      <c r="AS20" s="26">
        <v>0.398</v>
      </c>
      <c r="AT20" s="26" t="s">
        <v>406</v>
      </c>
      <c r="AU20" s="26" t="s">
        <v>624</v>
      </c>
      <c r="AV20" s="25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7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4"/>
      <c r="CI20" s="4" t="s">
        <v>692</v>
      </c>
      <c r="CJ20" s="4"/>
      <c r="CK20" s="4"/>
      <c r="CL20" s="4"/>
      <c r="CM20" s="4"/>
      <c r="CN20" s="4"/>
      <c r="CO20" s="4"/>
      <c r="CP20" s="4"/>
      <c r="CQ20" s="25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7"/>
      <c r="DO20" s="403">
        <f t="shared" ref="DO20:DS20" si="89">IFERROR(AVERAGE(IFERROR(VALUE(C20),""),IFERROR(VALUE(H20),""),IFERROR(VALUE(M20),""),IFERROR(VALUE(R20),""),IFERROR(VALUE(W20),""),IFERROR(VALUE(AB20),"")),"")</f>
        <v>0.642</v>
      </c>
      <c r="DP20" s="404">
        <f t="shared" si="89"/>
        <v>0.637</v>
      </c>
      <c r="DQ20" s="405">
        <f t="shared" si="89"/>
        <v>0.5601666667</v>
      </c>
      <c r="DR20" s="406">
        <f t="shared" si="89"/>
        <v>0.4045</v>
      </c>
      <c r="DS20" s="171">
        <f t="shared" si="89"/>
        <v>0.18</v>
      </c>
      <c r="DT20" s="403">
        <f t="shared" ref="DT20:DV20" si="90">IFERROR(AVERAGE(IFERROR(VALUE(AG20),""),IFERROR(VALUE(AJ20),""),IFERROR(VALUE(AM20),""),IFERROR(VALUE(AP20),""),IFERROR(VALUE(AS20),"")),"")</f>
        <v>0.2984</v>
      </c>
      <c r="DU20" s="4" t="str">
        <f t="shared" si="90"/>
        <v/>
      </c>
      <c r="DV20" s="407">
        <f t="shared" si="90"/>
        <v>0.413</v>
      </c>
      <c r="DW20" s="386">
        <f t="shared" ref="DW20:DX20" si="91">IFERROR(AVERAGE(IFERROR(VALUE(AW20),""),IFERROR(VALUE(AZ20),""),IFERROR(VALUE(BC20),""),IFERROR(VALUE(BF20),""),IFERROR(VALUE(BI20),"")),"")</f>
        <v>0</v>
      </c>
      <c r="DX20" s="387">
        <f t="shared" si="91"/>
        <v>0</v>
      </c>
      <c r="DY20" s="408">
        <f t="shared" ref="DY20:DY29" si="98">IFERROR(AVERAGE(IFERROR(VALUE(BT20),""),IFERROR(VALUE(BY20),""),IFERROR(VALUE(CH20),"")),"")</f>
        <v>0</v>
      </c>
      <c r="DZ20" s="41" t="str">
        <f t="shared" ref="DZ20:DZ29" si="99">IFERROR(AVERAGE(IFERROR(VALUE(BU20),""),IFERROR(VALUE(BZ20),""),IFERROR(VALUE(CD20),""),IFERROR(VALUE(CI20),""),IFERROR(VALUE(CM20),"")),"")</f>
        <v/>
      </c>
      <c r="EA20" s="237">
        <f t="shared" ref="EA20:EA29" si="100">IFERROR(AVERAGE(IFERROR(VALUE(BV20),""),IFERROR(VALUE(CA20),""),IFERROR(VALUE(CE20),""),IFERROR(VALUE(CJ20),""), IFERROR(VALUE(CN20),"")),"")</f>
        <v>0</v>
      </c>
      <c r="EB20" s="42">
        <f t="shared" ref="EB20:EB29" si="101">IFERROR(AVERAGE(IFERROR(VALUE(BW20),""),IFERROR(VALUE(CB20),""),IFERROR(VALUE(CF20),""),IFERROR(VALUE(CK20),""),IFERROR(VALUE(CO20),"")),"")</f>
        <v>0</v>
      </c>
      <c r="EC20" s="441">
        <f t="shared" ref="EC20:EC29" si="102">IFERROR(AVERAGE(IFERROR(VALUE(BX20),""),IFERROR(VALUE(CC20),""),IFERROR(VALUE(CG20),""),IFERROR(VALUE(CL20),""), IFERROR(VALUE(CP20),"")),"")</f>
        <v>0</v>
      </c>
      <c r="ED20" s="385">
        <f t="shared" ref="ED20:ED29" si="103">IFERROR(AVERAGE(IFERROR(VALUE(DI20),"")),"")</f>
        <v>0</v>
      </c>
      <c r="EE20" s="386">
        <f t="shared" ref="EE20:EF20" si="92">IFERROR(AVERAGE(IFERROR(VALUE(CQ20),""),IFERROR(VALUE(CW20),""),IFERROR(VALUE(DC20),""),IFERROR(VALUE(DJ20),"")),"")</f>
        <v>0</v>
      </c>
      <c r="EF20" s="386">
        <f t="shared" si="92"/>
        <v>0</v>
      </c>
      <c r="EG20" s="386">
        <f t="shared" ref="EG20:EH20" si="93">IFERROR(AVERAGE(IFERROR(VALUE(CU20),""),IFERROR(VALUE(DA20),""),IFERROR(VALUE(DG20),""),IFERROR(VALUE(DL20),"")),"")</f>
        <v>0</v>
      </c>
      <c r="EH20" s="386">
        <f t="shared" si="93"/>
        <v>0</v>
      </c>
      <c r="EI20" s="386">
        <f t="shared" ref="EI20:EJ20" si="94">IFERROR(AVERAGE(IFERROR(VALUE(CS20),""),IFERROR(VALUE(CY20),""),IFERROR(VALUE(DE20),"")),"")</f>
        <v>0</v>
      </c>
      <c r="EJ20" s="387">
        <f t="shared" si="94"/>
        <v>0</v>
      </c>
    </row>
    <row r="21" hidden="1">
      <c r="A21" s="52"/>
      <c r="B21" s="53" t="s">
        <v>713</v>
      </c>
      <c r="C21" s="25">
        <v>0.87</v>
      </c>
      <c r="D21" s="26" t="s">
        <v>621</v>
      </c>
      <c r="E21" s="26" t="s">
        <v>104</v>
      </c>
      <c r="F21" s="26" t="s">
        <v>143</v>
      </c>
      <c r="G21" s="26" t="s">
        <v>153</v>
      </c>
      <c r="H21" s="26">
        <v>0.759</v>
      </c>
      <c r="I21" s="26" t="s">
        <v>111</v>
      </c>
      <c r="J21" s="26" t="s">
        <v>58</v>
      </c>
      <c r="K21" s="26" t="s">
        <v>464</v>
      </c>
      <c r="L21" s="26" t="s">
        <v>65</v>
      </c>
      <c r="M21" s="26">
        <v>0.733</v>
      </c>
      <c r="N21" s="26" t="s">
        <v>535</v>
      </c>
      <c r="O21" s="26" t="s">
        <v>187</v>
      </c>
      <c r="P21" s="26" t="s">
        <v>714</v>
      </c>
      <c r="Q21" s="26" t="s">
        <v>715</v>
      </c>
      <c r="R21" s="26">
        <v>0.608</v>
      </c>
      <c r="S21" s="26" t="s">
        <v>402</v>
      </c>
      <c r="T21" s="26" t="s">
        <v>269</v>
      </c>
      <c r="U21" s="26" t="s">
        <v>270</v>
      </c>
      <c r="V21" s="26" t="s">
        <v>716</v>
      </c>
      <c r="W21" s="26">
        <v>0.841</v>
      </c>
      <c r="X21" s="26" t="s">
        <v>80</v>
      </c>
      <c r="Y21" s="26" t="s">
        <v>200</v>
      </c>
      <c r="Z21" s="26" t="s">
        <v>717</v>
      </c>
      <c r="AA21" s="26" t="s">
        <v>381</v>
      </c>
      <c r="AB21" s="26"/>
      <c r="AC21" s="26"/>
      <c r="AD21" s="26"/>
      <c r="AE21" s="26"/>
      <c r="AF21" s="27"/>
      <c r="AG21" s="26">
        <v>0.505</v>
      </c>
      <c r="AH21" s="26" t="s">
        <v>200</v>
      </c>
      <c r="AI21" s="26" t="s">
        <v>718</v>
      </c>
      <c r="AJ21" s="26">
        <v>0.107</v>
      </c>
      <c r="AK21" s="26" t="s">
        <v>92</v>
      </c>
      <c r="AL21" s="26" t="s">
        <v>633</v>
      </c>
      <c r="AM21" s="26">
        <v>0.417</v>
      </c>
      <c r="AN21" s="26" t="s">
        <v>149</v>
      </c>
      <c r="AO21" s="26" t="s">
        <v>719</v>
      </c>
      <c r="AP21" s="26"/>
      <c r="AQ21" s="26"/>
      <c r="AR21" s="26"/>
      <c r="AS21" s="26">
        <v>0.482</v>
      </c>
      <c r="AT21" s="26" t="s">
        <v>251</v>
      </c>
      <c r="AU21" s="26" t="s">
        <v>464</v>
      </c>
      <c r="AV21" s="25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7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4"/>
      <c r="CI21" s="4"/>
      <c r="CJ21" s="4"/>
      <c r="CK21" s="4"/>
      <c r="CL21" s="4"/>
      <c r="CM21" s="4"/>
      <c r="CN21" s="4"/>
      <c r="CO21" s="4"/>
      <c r="CP21" s="4"/>
      <c r="CQ21" s="25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7"/>
      <c r="DO21" s="409">
        <f t="shared" ref="DO21:DS21" si="95">IFERROR(AVERAGE(IFERROR(VALUE(C21),""),IFERROR(VALUE(H21),""),IFERROR(VALUE(M21),""),IFERROR(VALUE(R21),""),IFERROR(VALUE(W21),""),IFERROR(VALUE(AB21),"")),"")</f>
        <v>0.6351666667</v>
      </c>
      <c r="DP21" s="404">
        <f t="shared" si="95"/>
        <v>0.6338333333</v>
      </c>
      <c r="DQ21" s="109">
        <f t="shared" si="95"/>
        <v>0.5485</v>
      </c>
      <c r="DR21" s="406">
        <f t="shared" si="95"/>
        <v>0.4041666667</v>
      </c>
      <c r="DS21" s="85">
        <f t="shared" si="95"/>
        <v>0.1815</v>
      </c>
      <c r="DT21" s="410">
        <f t="shared" ref="DT21:DV21" si="96">IFERROR(AVERAGE(IFERROR(VALUE(AG21),""),IFERROR(VALUE(AJ21),""),IFERROR(VALUE(AM21),""),IFERROR(VALUE(AP21),""),IFERROR(VALUE(AS21),"")),"")</f>
        <v>0.3022</v>
      </c>
      <c r="DU21" s="406">
        <f t="shared" si="96"/>
        <v>0.58</v>
      </c>
      <c r="DV21" s="411">
        <f t="shared" si="96"/>
        <v>0.4748</v>
      </c>
      <c r="DW21" s="386">
        <f t="shared" ref="DW21:DX21" si="97">IFERROR(AVERAGE(IFERROR(VALUE(AW21),""),IFERROR(VALUE(AZ21),""),IFERROR(VALUE(BC21),""),IFERROR(VALUE(BF21),""),IFERROR(VALUE(BI21),"")),"")</f>
        <v>0</v>
      </c>
      <c r="DX21" s="387">
        <f t="shared" si="97"/>
        <v>0</v>
      </c>
      <c r="DY21" s="385">
        <f t="shared" si="98"/>
        <v>0</v>
      </c>
      <c r="DZ21" s="41">
        <f t="shared" si="99"/>
        <v>0</v>
      </c>
      <c r="EA21" s="237">
        <f t="shared" si="100"/>
        <v>0</v>
      </c>
      <c r="EB21" s="42">
        <f t="shared" si="101"/>
        <v>0</v>
      </c>
      <c r="EC21" s="441">
        <f t="shared" si="102"/>
        <v>0</v>
      </c>
      <c r="ED21" s="385">
        <f t="shared" si="103"/>
        <v>0</v>
      </c>
      <c r="EE21" s="386">
        <f t="shared" ref="EE21:EF21" si="104">IFERROR(AVERAGE(IFERROR(VALUE(CQ21),""),IFERROR(VALUE(CW21),""),IFERROR(VALUE(DC21),""),IFERROR(VALUE(DJ21),"")),"")</f>
        <v>0</v>
      </c>
      <c r="EF21" s="386">
        <f t="shared" si="104"/>
        <v>0</v>
      </c>
      <c r="EG21" s="386">
        <f t="shared" ref="EG21:EH21" si="105">IFERROR(AVERAGE(IFERROR(VALUE(CU21),""),IFERROR(VALUE(DA21),""),IFERROR(VALUE(DG21),""),IFERROR(VALUE(DL21),"")),"")</f>
        <v>0</v>
      </c>
      <c r="EH21" s="386">
        <f t="shared" si="105"/>
        <v>0</v>
      </c>
      <c r="EI21" s="386">
        <f t="shared" ref="EI21:EJ21" si="106">IFERROR(AVERAGE(IFERROR(VALUE(CS21),""),IFERROR(VALUE(CY21),""),IFERROR(VALUE(DE21),"")),"")</f>
        <v>0</v>
      </c>
      <c r="EJ21" s="387">
        <f t="shared" si="106"/>
        <v>0</v>
      </c>
    </row>
    <row r="22" hidden="1">
      <c r="A22" s="52"/>
      <c r="B22" s="53" t="s">
        <v>720</v>
      </c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5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7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4"/>
      <c r="CI22" s="4"/>
      <c r="CJ22" s="4"/>
      <c r="CK22" s="4"/>
      <c r="CL22" s="4"/>
      <c r="CM22" s="4"/>
      <c r="CN22" s="4"/>
      <c r="CO22" s="4"/>
      <c r="CP22" s="4"/>
      <c r="CQ22" s="25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7"/>
      <c r="DO22" s="385">
        <f t="shared" ref="DO22:DS22" si="107">IFERROR(AVERAGE(IFERROR(VALUE(C22),""),IFERROR(VALUE(H22),""),IFERROR(VALUE(M22),""),IFERROR(VALUE(R22),""),IFERROR(VALUE(W22),""),IFERROR(VALUE(AB22),"")),"")</f>
        <v>0</v>
      </c>
      <c r="DP22" s="386">
        <f t="shared" si="107"/>
        <v>0</v>
      </c>
      <c r="DQ22" s="386">
        <f t="shared" si="107"/>
        <v>0</v>
      </c>
      <c r="DR22" s="386">
        <f t="shared" si="107"/>
        <v>0</v>
      </c>
      <c r="DS22" s="387">
        <f t="shared" si="107"/>
        <v>0</v>
      </c>
      <c r="DT22" s="385">
        <f t="shared" ref="DT22:DV22" si="108">IFERROR(AVERAGE(IFERROR(VALUE(AG22),""),IFERROR(VALUE(AJ22),""),IFERROR(VALUE(AM22),""),IFERROR(VALUE(AP22),""),IFERROR(VALUE(AS22),"")),"")</f>
        <v>0</v>
      </c>
      <c r="DU22" s="386">
        <f t="shared" si="108"/>
        <v>0</v>
      </c>
      <c r="DV22" s="387">
        <f t="shared" si="108"/>
        <v>0</v>
      </c>
      <c r="DW22" s="386">
        <f t="shared" ref="DW22:DX22" si="109">IFERROR(AVERAGE(IFERROR(VALUE(AW22),""),IFERROR(VALUE(AZ22),""),IFERROR(VALUE(BC22),""),IFERROR(VALUE(BF22),""),IFERROR(VALUE(BI22),"")),"")</f>
        <v>0</v>
      </c>
      <c r="DX22" s="387">
        <f t="shared" si="109"/>
        <v>0</v>
      </c>
      <c r="DY22" s="385">
        <f t="shared" si="98"/>
        <v>0</v>
      </c>
      <c r="DZ22" s="41">
        <f t="shared" si="99"/>
        <v>0</v>
      </c>
      <c r="EA22" s="237">
        <f t="shared" si="100"/>
        <v>0</v>
      </c>
      <c r="EB22" s="42">
        <f t="shared" si="101"/>
        <v>0</v>
      </c>
      <c r="EC22" s="441">
        <f t="shared" si="102"/>
        <v>0</v>
      </c>
      <c r="ED22" s="385">
        <f t="shared" si="103"/>
        <v>0</v>
      </c>
      <c r="EE22" s="386">
        <f t="shared" ref="EE22:EF22" si="110">IFERROR(AVERAGE(IFERROR(VALUE(CQ22),""),IFERROR(VALUE(CW22),""),IFERROR(VALUE(DC22),""),IFERROR(VALUE(DJ22),"")),"")</f>
        <v>0</v>
      </c>
      <c r="EF22" s="386">
        <f t="shared" si="110"/>
        <v>0</v>
      </c>
      <c r="EG22" s="386">
        <f t="shared" ref="EG22:EH22" si="111">IFERROR(AVERAGE(IFERROR(VALUE(CU22),""),IFERROR(VALUE(DA22),""),IFERROR(VALUE(DG22),""),IFERROR(VALUE(DL22),"")),"")</f>
        <v>0</v>
      </c>
      <c r="EH22" s="386">
        <f t="shared" si="111"/>
        <v>0</v>
      </c>
      <c r="EI22" s="386">
        <f t="shared" ref="EI22:EJ22" si="112">IFERROR(AVERAGE(IFERROR(VALUE(CS22),""),IFERROR(VALUE(CY22),""),IFERROR(VALUE(DE22),"")),"")</f>
        <v>0</v>
      </c>
      <c r="EJ22" s="387">
        <f t="shared" si="112"/>
        <v>0</v>
      </c>
    </row>
    <row r="23">
      <c r="A23" s="52"/>
      <c r="B23" s="53" t="s">
        <v>540</v>
      </c>
      <c r="C23" s="25">
        <v>0.855</v>
      </c>
      <c r="D23" s="26" t="s">
        <v>541</v>
      </c>
      <c r="E23" s="26" t="s">
        <v>542</v>
      </c>
      <c r="F23" s="26" t="s">
        <v>164</v>
      </c>
      <c r="G23" s="26" t="s">
        <v>543</v>
      </c>
      <c r="H23" s="26">
        <v>0.266</v>
      </c>
      <c r="I23" s="26" t="s">
        <v>421</v>
      </c>
      <c r="J23" s="26" t="s">
        <v>183</v>
      </c>
      <c r="K23" s="26" t="s">
        <v>544</v>
      </c>
      <c r="L23" s="26" t="s">
        <v>545</v>
      </c>
      <c r="M23" s="26">
        <v>0.8</v>
      </c>
      <c r="N23" s="26" t="s">
        <v>123</v>
      </c>
      <c r="O23" s="26" t="s">
        <v>167</v>
      </c>
      <c r="P23" s="26" t="s">
        <v>546</v>
      </c>
      <c r="Q23" s="26" t="s">
        <v>547</v>
      </c>
      <c r="R23" s="26">
        <v>0.654</v>
      </c>
      <c r="S23" s="26" t="s">
        <v>548</v>
      </c>
      <c r="T23" s="26" t="s">
        <v>549</v>
      </c>
      <c r="U23" s="26" t="s">
        <v>550</v>
      </c>
      <c r="V23" s="26" t="s">
        <v>551</v>
      </c>
      <c r="W23" s="26">
        <v>0.784</v>
      </c>
      <c r="X23" s="26" t="s">
        <v>552</v>
      </c>
      <c r="Y23" s="26" t="s">
        <v>553</v>
      </c>
      <c r="Z23" s="26" t="s">
        <v>554</v>
      </c>
      <c r="AA23" s="26" t="s">
        <v>555</v>
      </c>
      <c r="AB23" s="26">
        <v>0.868</v>
      </c>
      <c r="AC23" s="26" t="s">
        <v>141</v>
      </c>
      <c r="AD23" s="26" t="s">
        <v>556</v>
      </c>
      <c r="AE23" s="26" t="s">
        <v>142</v>
      </c>
      <c r="AF23" s="27" t="s">
        <v>337</v>
      </c>
      <c r="AG23" s="26">
        <v>0.418</v>
      </c>
      <c r="AH23" s="26" t="s">
        <v>88</v>
      </c>
      <c r="AI23" s="26" t="s">
        <v>232</v>
      </c>
      <c r="AJ23" s="26">
        <v>0.086</v>
      </c>
      <c r="AK23" s="26" t="s">
        <v>464</v>
      </c>
      <c r="AL23" s="26" t="s">
        <v>557</v>
      </c>
      <c r="AM23" s="26">
        <v>0.534</v>
      </c>
      <c r="AN23" s="26" t="s">
        <v>481</v>
      </c>
      <c r="AO23" s="26" t="s">
        <v>193</v>
      </c>
      <c r="AP23" s="26">
        <v>0.255</v>
      </c>
      <c r="AQ23" s="26" t="s">
        <v>558</v>
      </c>
      <c r="AR23" s="26" t="s">
        <v>93</v>
      </c>
      <c r="AS23" s="26">
        <v>0.263</v>
      </c>
      <c r="AT23" s="26" t="s">
        <v>559</v>
      </c>
      <c r="AU23" s="26" t="s">
        <v>55</v>
      </c>
      <c r="AV23" s="25"/>
      <c r="AW23" s="26" t="s">
        <v>87</v>
      </c>
      <c r="AX23" s="26" t="s">
        <v>288</v>
      </c>
      <c r="AY23" s="26"/>
      <c r="AZ23" s="26" t="s">
        <v>560</v>
      </c>
      <c r="BA23" s="26" t="s">
        <v>531</v>
      </c>
      <c r="BB23" s="26"/>
      <c r="BC23" s="26" t="s">
        <v>140</v>
      </c>
      <c r="BD23" s="26" t="s">
        <v>80</v>
      </c>
      <c r="BE23" s="26"/>
      <c r="BF23" s="26" t="s">
        <v>281</v>
      </c>
      <c r="BG23" s="26" t="s">
        <v>96</v>
      </c>
      <c r="BH23" s="26"/>
      <c r="BI23" s="26" t="s">
        <v>179</v>
      </c>
      <c r="BJ23" s="26" t="s">
        <v>489</v>
      </c>
      <c r="BK23" s="26"/>
      <c r="BL23" s="26"/>
      <c r="BM23" s="26"/>
      <c r="BN23" s="26"/>
      <c r="BO23" s="26"/>
      <c r="BP23" s="26"/>
      <c r="BQ23" s="26"/>
      <c r="BR23" s="26"/>
      <c r="BS23" s="27"/>
      <c r="BT23" s="72">
        <v>0.797</v>
      </c>
      <c r="BU23" s="26" t="s">
        <v>219</v>
      </c>
      <c r="BV23" s="26" t="s">
        <v>205</v>
      </c>
      <c r="BW23" s="26" t="s">
        <v>256</v>
      </c>
      <c r="BX23" s="26" t="s">
        <v>81</v>
      </c>
      <c r="BY23" s="72">
        <v>0.841</v>
      </c>
      <c r="BZ23" s="26" t="s">
        <v>154</v>
      </c>
      <c r="CA23" s="26" t="s">
        <v>241</v>
      </c>
      <c r="CB23" s="26" t="s">
        <v>561</v>
      </c>
      <c r="CC23" s="26" t="s">
        <v>562</v>
      </c>
      <c r="CD23" s="26" t="s">
        <v>563</v>
      </c>
      <c r="CE23" s="26" t="s">
        <v>159</v>
      </c>
      <c r="CF23" s="26" t="s">
        <v>564</v>
      </c>
      <c r="CG23" s="26" t="s">
        <v>340</v>
      </c>
      <c r="CH23" s="4">
        <v>0.9856850716</v>
      </c>
      <c r="CI23" s="4">
        <v>0.976611924</v>
      </c>
      <c r="CJ23" s="4">
        <v>0.9915644172</v>
      </c>
      <c r="CK23" s="4">
        <v>0.8851536914</v>
      </c>
      <c r="CL23" s="4">
        <v>0.6555402039</v>
      </c>
      <c r="CM23" s="144">
        <v>0.688</v>
      </c>
      <c r="CN23" s="144">
        <v>0.749</v>
      </c>
      <c r="CO23" s="144">
        <v>0.379</v>
      </c>
      <c r="CP23" s="144">
        <v>0.134</v>
      </c>
      <c r="CQ23" s="25" t="s">
        <v>560</v>
      </c>
      <c r="CR23" s="26" t="s">
        <v>394</v>
      </c>
      <c r="CS23" s="26" t="s">
        <v>784</v>
      </c>
      <c r="CT23" s="26" t="s">
        <v>604</v>
      </c>
      <c r="CU23" s="26" t="s">
        <v>217</v>
      </c>
      <c r="CV23" s="26" t="s">
        <v>785</v>
      </c>
      <c r="CW23" s="26" t="s">
        <v>706</v>
      </c>
      <c r="CX23" s="26" t="s">
        <v>288</v>
      </c>
      <c r="CY23" s="26" t="s">
        <v>786</v>
      </c>
      <c r="CZ23" s="26" t="s">
        <v>787</v>
      </c>
      <c r="DA23" s="26" t="s">
        <v>495</v>
      </c>
      <c r="DB23" s="26" t="s">
        <v>63</v>
      </c>
      <c r="DC23" s="26" t="s">
        <v>368</v>
      </c>
      <c r="DD23" s="26" t="s">
        <v>541</v>
      </c>
      <c r="DE23" s="26" t="s">
        <v>788</v>
      </c>
      <c r="DF23" s="26" t="s">
        <v>312</v>
      </c>
      <c r="DG23" s="26" t="s">
        <v>789</v>
      </c>
      <c r="DH23" s="26" t="s">
        <v>433</v>
      </c>
      <c r="DI23" s="26">
        <v>0.957</v>
      </c>
      <c r="DJ23" s="26" t="s">
        <v>158</v>
      </c>
      <c r="DK23" s="26" t="s">
        <v>565</v>
      </c>
      <c r="DL23" s="26" t="s">
        <v>385</v>
      </c>
      <c r="DM23" s="27" t="s">
        <v>566</v>
      </c>
      <c r="DO23" s="108">
        <f t="shared" ref="DO23:DS23" si="113">IFERROR(AVERAGE(IFERROR(VALUE(C23),""),IFERROR(VALUE(H23),""),IFERROR(VALUE(M23),""),IFERROR(VALUE(R23),""),IFERROR(VALUE(W23),""),IFERROR(VALUE(AB23),"")),"")</f>
        <v>0.7045</v>
      </c>
      <c r="DP23" s="41">
        <f t="shared" si="113"/>
        <v>0.7143333333</v>
      </c>
      <c r="DQ23" s="74">
        <f t="shared" si="113"/>
        <v>0.5718333333</v>
      </c>
      <c r="DR23" s="35">
        <f t="shared" si="113"/>
        <v>0.4733333333</v>
      </c>
      <c r="DS23" s="252">
        <f t="shared" si="113"/>
        <v>0.1875</v>
      </c>
      <c r="DT23" s="253">
        <f t="shared" ref="DT23:DV23" si="114">IFERROR(AVERAGE(IFERROR(VALUE(AG23),""),IFERROR(VALUE(AJ23),""),IFERROR(VALUE(AM23),""),IFERROR(VALUE(AP23),""),IFERROR(VALUE(AS23),"")),"")</f>
        <v>0.3112</v>
      </c>
      <c r="DU23" s="254">
        <f t="shared" si="114"/>
        <v>0.7036</v>
      </c>
      <c r="DV23" s="255">
        <f t="shared" si="114"/>
        <v>0.6338</v>
      </c>
      <c r="DW23" s="465">
        <f t="shared" ref="DW23:DX23" si="115">IFERROR(AVERAGE(IFERROR(VALUE(AW23),""),IFERROR(VALUE(AZ23),""),IFERROR(VALUE(BC23),""),IFERROR(VALUE(BF23),""),IFERROR(VALUE(BI23),"")),"")</f>
        <v>0.6662</v>
      </c>
      <c r="DX23" s="442">
        <f t="shared" si="115"/>
        <v>0.7854</v>
      </c>
      <c r="DY23" s="466">
        <f t="shared" si="98"/>
        <v>0.8745616905</v>
      </c>
      <c r="DZ23" s="41">
        <f t="shared" si="99"/>
        <v>0.8025223848</v>
      </c>
      <c r="EA23" s="237">
        <f t="shared" si="100"/>
        <v>0.8031128834</v>
      </c>
      <c r="EB23" s="42">
        <f t="shared" si="101"/>
        <v>0.5444307383</v>
      </c>
      <c r="EC23" s="441">
        <f t="shared" si="102"/>
        <v>0.2969080408</v>
      </c>
      <c r="ED23" s="260">
        <f t="shared" si="103"/>
        <v>0.957</v>
      </c>
      <c r="EE23" s="83">
        <f t="shared" ref="EE23:EF23" si="116">IFERROR(AVERAGE(IFERROR(VALUE(CQ23),""),IFERROR(VALUE(CW23),""),IFERROR(VALUE(DC23),""),IFERROR(VALUE(DJ23),"")),"")</f>
        <v>0.76975</v>
      </c>
      <c r="EF23" s="41">
        <f t="shared" si="116"/>
        <v>0.88075</v>
      </c>
      <c r="EG23" s="34">
        <f t="shared" ref="EG23:EH23" si="117">IFERROR(AVERAGE(IFERROR(VALUE(CU23),""),IFERROR(VALUE(DA23),""),IFERROR(VALUE(DG23),""),IFERROR(VALUE(DL23),"")),"")</f>
        <v>0.511</v>
      </c>
      <c r="EH23" s="35">
        <f t="shared" si="117"/>
        <v>0.36375</v>
      </c>
      <c r="EI23" s="83">
        <f t="shared" ref="EI23:EJ23" si="118">IFERROR(AVERAGE(IFERROR(VALUE(CS23),""),IFERROR(VALUE(CY23),""),IFERROR(VALUE(DE23),"")),"")</f>
        <v>0.5533333333</v>
      </c>
      <c r="EJ23" s="252">
        <f t="shared" si="118"/>
        <v>0.141</v>
      </c>
    </row>
    <row r="24">
      <c r="A24" s="52"/>
      <c r="B24" s="53" t="s">
        <v>567</v>
      </c>
      <c r="C24" s="25">
        <v>0.823</v>
      </c>
      <c r="D24" s="26" t="s">
        <v>244</v>
      </c>
      <c r="E24" s="26" t="s">
        <v>385</v>
      </c>
      <c r="F24" s="26" t="s">
        <v>332</v>
      </c>
      <c r="G24" s="26" t="s">
        <v>568</v>
      </c>
      <c r="H24" s="26">
        <v>0.33</v>
      </c>
      <c r="I24" s="26" t="s">
        <v>569</v>
      </c>
      <c r="J24" s="26" t="s">
        <v>570</v>
      </c>
      <c r="K24" s="26" t="s">
        <v>571</v>
      </c>
      <c r="L24" s="26" t="s">
        <v>545</v>
      </c>
      <c r="M24" s="26">
        <v>0.758</v>
      </c>
      <c r="N24" s="26" t="s">
        <v>443</v>
      </c>
      <c r="O24" s="26" t="s">
        <v>439</v>
      </c>
      <c r="P24" s="26" t="s">
        <v>572</v>
      </c>
      <c r="Q24" s="26" t="s">
        <v>573</v>
      </c>
      <c r="R24" s="26">
        <v>0.639</v>
      </c>
      <c r="S24" s="26" t="s">
        <v>574</v>
      </c>
      <c r="T24" s="26" t="s">
        <v>319</v>
      </c>
      <c r="U24" s="26" t="s">
        <v>575</v>
      </c>
      <c r="V24" s="26" t="s">
        <v>576</v>
      </c>
      <c r="W24" s="26">
        <v>0.863</v>
      </c>
      <c r="X24" s="26" t="s">
        <v>577</v>
      </c>
      <c r="Y24" s="26" t="s">
        <v>578</v>
      </c>
      <c r="Z24" s="26" t="s">
        <v>579</v>
      </c>
      <c r="AA24" s="26" t="s">
        <v>580</v>
      </c>
      <c r="AB24" s="26">
        <v>0.74</v>
      </c>
      <c r="AC24" s="26" t="s">
        <v>581</v>
      </c>
      <c r="AD24" s="26" t="s">
        <v>582</v>
      </c>
      <c r="AE24" s="26" t="s">
        <v>149</v>
      </c>
      <c r="AF24" s="27" t="s">
        <v>583</v>
      </c>
      <c r="AG24" s="26">
        <v>0.428</v>
      </c>
      <c r="AH24" s="26" t="s">
        <v>194</v>
      </c>
      <c r="AI24" s="26" t="s">
        <v>584</v>
      </c>
      <c r="AJ24" s="26">
        <v>0.087</v>
      </c>
      <c r="AK24" s="26" t="s">
        <v>558</v>
      </c>
      <c r="AL24" s="26" t="s">
        <v>295</v>
      </c>
      <c r="AM24" s="26">
        <v>0.571</v>
      </c>
      <c r="AN24" s="26" t="s">
        <v>585</v>
      </c>
      <c r="AO24" s="26" t="s">
        <v>206</v>
      </c>
      <c r="AP24" s="26">
        <v>0.081</v>
      </c>
      <c r="AQ24" s="26" t="s">
        <v>262</v>
      </c>
      <c r="AR24" s="26" t="s">
        <v>229</v>
      </c>
      <c r="AS24" s="26">
        <v>0.389</v>
      </c>
      <c r="AT24" s="26" t="s">
        <v>131</v>
      </c>
      <c r="AU24" s="26" t="s">
        <v>235</v>
      </c>
      <c r="AV24" s="25"/>
      <c r="AW24" s="26" t="s">
        <v>196</v>
      </c>
      <c r="AX24" s="26" t="s">
        <v>586</v>
      </c>
      <c r="AY24" s="26"/>
      <c r="AZ24" s="26" t="s">
        <v>587</v>
      </c>
      <c r="BA24" s="26" t="s">
        <v>185</v>
      </c>
      <c r="BB24" s="26"/>
      <c r="BC24" s="26" t="s">
        <v>588</v>
      </c>
      <c r="BD24" s="26" t="s">
        <v>119</v>
      </c>
      <c r="BE24" s="26"/>
      <c r="BF24" s="26" t="s">
        <v>402</v>
      </c>
      <c r="BG24" s="26" t="s">
        <v>589</v>
      </c>
      <c r="BH24" s="26"/>
      <c r="BI24" s="26" t="s">
        <v>304</v>
      </c>
      <c r="BJ24" s="26" t="s">
        <v>590</v>
      </c>
      <c r="BK24" s="26"/>
      <c r="BL24" s="26"/>
      <c r="BM24" s="26"/>
      <c r="BN24" s="26"/>
      <c r="BO24" s="26"/>
      <c r="BP24" s="26"/>
      <c r="BQ24" s="26"/>
      <c r="BR24" s="26"/>
      <c r="BS24" s="27"/>
      <c r="BT24" s="26">
        <v>0.742</v>
      </c>
      <c r="BU24" s="26" t="s">
        <v>441</v>
      </c>
      <c r="BV24" s="26" t="s">
        <v>591</v>
      </c>
      <c r="BW24" s="26" t="s">
        <v>488</v>
      </c>
      <c r="BX24" s="26" t="s">
        <v>592</v>
      </c>
      <c r="BY24" s="26">
        <v>0.841</v>
      </c>
      <c r="BZ24" s="26" t="s">
        <v>88</v>
      </c>
      <c r="CA24" s="26" t="s">
        <v>306</v>
      </c>
      <c r="CB24" s="26" t="s">
        <v>593</v>
      </c>
      <c r="CC24" s="26" t="s">
        <v>127</v>
      </c>
      <c r="CD24" s="26" t="s">
        <v>594</v>
      </c>
      <c r="CE24" s="72">
        <v>0.56</v>
      </c>
      <c r="CF24" s="26" t="s">
        <v>248</v>
      </c>
      <c r="CG24" s="26" t="s">
        <v>595</v>
      </c>
      <c r="CH24" s="4">
        <v>0.9700920245</v>
      </c>
      <c r="CI24" s="4">
        <v>0.9343732325</v>
      </c>
      <c r="CJ24" s="4">
        <v>0.9930981595</v>
      </c>
      <c r="CK24" s="4">
        <v>0.8159253752</v>
      </c>
      <c r="CL24" s="4">
        <v>0.5463171349</v>
      </c>
      <c r="CM24" s="144">
        <v>0.63</v>
      </c>
      <c r="CN24" s="144">
        <v>0.629</v>
      </c>
      <c r="CO24" s="144">
        <v>0.26</v>
      </c>
      <c r="CP24" s="144">
        <v>0.068</v>
      </c>
      <c r="CQ24" s="25" t="s">
        <v>790</v>
      </c>
      <c r="CR24" s="26" t="s">
        <v>791</v>
      </c>
      <c r="CS24" s="26" t="s">
        <v>419</v>
      </c>
      <c r="CT24" s="26" t="s">
        <v>792</v>
      </c>
      <c r="CU24" s="26" t="s">
        <v>217</v>
      </c>
      <c r="CV24" s="26" t="s">
        <v>426</v>
      </c>
      <c r="CW24" s="26" t="s">
        <v>130</v>
      </c>
      <c r="CX24" s="26" t="s">
        <v>365</v>
      </c>
      <c r="CY24" s="26" t="s">
        <v>117</v>
      </c>
      <c r="CZ24" s="26" t="s">
        <v>342</v>
      </c>
      <c r="DA24" s="26" t="s">
        <v>479</v>
      </c>
      <c r="DB24" s="26" t="s">
        <v>263</v>
      </c>
      <c r="DC24" s="26" t="s">
        <v>95</v>
      </c>
      <c r="DD24" s="26" t="s">
        <v>396</v>
      </c>
      <c r="DE24" s="26" t="s">
        <v>793</v>
      </c>
      <c r="DF24" s="26" t="s">
        <v>750</v>
      </c>
      <c r="DG24" s="26" t="s">
        <v>297</v>
      </c>
      <c r="DH24" s="26" t="s">
        <v>794</v>
      </c>
      <c r="DI24" s="26">
        <v>0.914</v>
      </c>
      <c r="DJ24" s="26" t="s">
        <v>214</v>
      </c>
      <c r="DK24" s="26" t="s">
        <v>134</v>
      </c>
      <c r="DL24" s="26" t="s">
        <v>596</v>
      </c>
      <c r="DM24" s="27" t="s">
        <v>597</v>
      </c>
      <c r="DO24" s="263">
        <f t="shared" ref="DO24:DS24" si="119">IFERROR(AVERAGE(IFERROR(VALUE(C24),""),IFERROR(VALUE(H24),""),IFERROR(VALUE(M24),""),IFERROR(VALUE(R24),""),IFERROR(VALUE(W24),""),IFERROR(VALUE(AB24),"")),"")</f>
        <v>0.6921666667</v>
      </c>
      <c r="DP24" s="264">
        <f t="shared" si="119"/>
        <v>0.6705333333</v>
      </c>
      <c r="DQ24" s="265">
        <f t="shared" si="119"/>
        <v>0.4985</v>
      </c>
      <c r="DR24" s="111">
        <f t="shared" si="119"/>
        <v>0.4096666667</v>
      </c>
      <c r="DS24" s="266">
        <f t="shared" si="119"/>
        <v>0.1171666667</v>
      </c>
      <c r="DT24" s="253">
        <f t="shared" ref="DT24:DV24" si="120">IFERROR(AVERAGE(IFERROR(VALUE(AG24),""),IFERROR(VALUE(AJ24),""),IFERROR(VALUE(AM24),""),IFERROR(VALUE(AP24),""),IFERROR(VALUE(AS24),"")),"")</f>
        <v>0.3112</v>
      </c>
      <c r="DU24" s="35">
        <f t="shared" si="120"/>
        <v>0.6794</v>
      </c>
      <c r="DV24" s="57">
        <f t="shared" si="120"/>
        <v>0.6068</v>
      </c>
      <c r="DW24" s="84">
        <f t="shared" ref="DW24:DX24" si="121">IFERROR(AVERAGE(IFERROR(VALUE(AW24),""),IFERROR(VALUE(AZ24),""),IFERROR(VALUE(BC24),""),IFERROR(VALUE(BF24),""),IFERROR(VALUE(BI24),"")),"")</f>
        <v>0.6234</v>
      </c>
      <c r="DX24" s="441">
        <f t="shared" si="121"/>
        <v>0.7626</v>
      </c>
      <c r="DY24" s="91">
        <f t="shared" si="98"/>
        <v>0.8510306748</v>
      </c>
      <c r="DZ24" s="41">
        <f t="shared" si="99"/>
        <v>0.7626746465</v>
      </c>
      <c r="EA24" s="237">
        <f t="shared" si="100"/>
        <v>0.7686196319</v>
      </c>
      <c r="EB24" s="42">
        <f t="shared" si="101"/>
        <v>0.457985075</v>
      </c>
      <c r="EC24" s="441">
        <f t="shared" si="102"/>
        <v>0.225663427</v>
      </c>
      <c r="ED24" s="268">
        <f t="shared" si="103"/>
        <v>0.914</v>
      </c>
      <c r="EE24" s="41">
        <f t="shared" ref="EE24:EF24" si="122">IFERROR(AVERAGE(IFERROR(VALUE(CQ24),""),IFERROR(VALUE(CW24),""),IFERROR(VALUE(DC24),""),IFERROR(VALUE(DJ24),"")),"")</f>
        <v>0.75175</v>
      </c>
      <c r="EF24" s="35">
        <f t="shared" si="122"/>
        <v>0.89225</v>
      </c>
      <c r="EG24" s="269">
        <f t="shared" ref="EG24:EH24" si="123">IFERROR(AVERAGE(IFERROR(VALUE(CU24),""),IFERROR(VALUE(DA24),""),IFERROR(VALUE(DG24),""),IFERROR(VALUE(DL24),"")),"")</f>
        <v>0.40075</v>
      </c>
      <c r="EH24" s="270">
        <f t="shared" si="123"/>
        <v>0.2435</v>
      </c>
      <c r="EI24" s="467">
        <f t="shared" ref="EI24:EJ24" si="124">IFERROR(AVERAGE(IFERROR(VALUE(CS24),""),IFERROR(VALUE(CY24),""),IFERROR(VALUE(DE24),"")),"")</f>
        <v>0.5683333333</v>
      </c>
      <c r="EJ24" s="468">
        <f t="shared" si="124"/>
        <v>0.142</v>
      </c>
    </row>
    <row r="25">
      <c r="A25" s="52"/>
      <c r="B25" s="53" t="s">
        <v>598</v>
      </c>
      <c r="C25" s="25">
        <v>0.873</v>
      </c>
      <c r="D25" s="26" t="s">
        <v>77</v>
      </c>
      <c r="E25" s="26" t="s">
        <v>330</v>
      </c>
      <c r="F25" s="26" t="s">
        <v>587</v>
      </c>
      <c r="G25" s="26" t="s">
        <v>120</v>
      </c>
      <c r="H25" s="26">
        <v>0.326</v>
      </c>
      <c r="I25" s="26" t="s">
        <v>599</v>
      </c>
      <c r="J25" s="26" t="s">
        <v>459</v>
      </c>
      <c r="K25" s="26" t="s">
        <v>600</v>
      </c>
      <c r="L25" s="26" t="s">
        <v>266</v>
      </c>
      <c r="M25" s="26">
        <v>0.791</v>
      </c>
      <c r="N25" s="26" t="s">
        <v>176</v>
      </c>
      <c r="O25" s="26" t="s">
        <v>222</v>
      </c>
      <c r="P25" s="26" t="s">
        <v>601</v>
      </c>
      <c r="Q25" s="26" t="s">
        <v>602</v>
      </c>
      <c r="R25" s="26">
        <v>0.655</v>
      </c>
      <c r="S25" s="26" t="s">
        <v>282</v>
      </c>
      <c r="T25" s="26" t="s">
        <v>138</v>
      </c>
      <c r="U25" s="26" t="s">
        <v>603</v>
      </c>
      <c r="V25" s="26" t="s">
        <v>604</v>
      </c>
      <c r="W25" s="26">
        <v>0.755</v>
      </c>
      <c r="X25" s="26" t="s">
        <v>271</v>
      </c>
      <c r="Y25" s="26" t="s">
        <v>601</v>
      </c>
      <c r="Z25" s="26" t="s">
        <v>605</v>
      </c>
      <c r="AA25" s="26" t="s">
        <v>606</v>
      </c>
      <c r="AB25" s="26">
        <v>0.853</v>
      </c>
      <c r="AC25" s="26" t="s">
        <v>358</v>
      </c>
      <c r="AD25" s="26" t="s">
        <v>440</v>
      </c>
      <c r="AE25" s="26" t="s">
        <v>607</v>
      </c>
      <c r="AF25" s="27" t="s">
        <v>608</v>
      </c>
      <c r="AG25" s="26">
        <v>0.475</v>
      </c>
      <c r="AH25" s="26" t="s">
        <v>609</v>
      </c>
      <c r="AI25" s="26" t="s">
        <v>610</v>
      </c>
      <c r="AJ25" s="26">
        <v>0.103</v>
      </c>
      <c r="AK25" s="26" t="s">
        <v>186</v>
      </c>
      <c r="AL25" s="26" t="s">
        <v>611</v>
      </c>
      <c r="AM25" s="26">
        <v>0.569</v>
      </c>
      <c r="AN25" s="26" t="s">
        <v>427</v>
      </c>
      <c r="AO25" s="26" t="s">
        <v>289</v>
      </c>
      <c r="AP25" s="26">
        <v>0.155</v>
      </c>
      <c r="AQ25" s="26" t="s">
        <v>128</v>
      </c>
      <c r="AR25" s="26" t="s">
        <v>607</v>
      </c>
      <c r="AS25" s="26">
        <v>0.275</v>
      </c>
      <c r="AT25" s="26" t="s">
        <v>490</v>
      </c>
      <c r="AU25" s="26" t="s">
        <v>58</v>
      </c>
      <c r="AV25" s="25"/>
      <c r="AW25" s="26" t="s">
        <v>62</v>
      </c>
      <c r="AX25" s="26" t="s">
        <v>144</v>
      </c>
      <c r="AY25" s="26"/>
      <c r="AZ25" s="26" t="s">
        <v>94</v>
      </c>
      <c r="BA25" s="26" t="s">
        <v>145</v>
      </c>
      <c r="BB25" s="26"/>
      <c r="BC25" s="26" t="s">
        <v>146</v>
      </c>
      <c r="BD25" s="26" t="s">
        <v>147</v>
      </c>
      <c r="BE25" s="26"/>
      <c r="BF25" s="26" t="s">
        <v>148</v>
      </c>
      <c r="BG25" s="26" t="s">
        <v>128</v>
      </c>
      <c r="BH25" s="26"/>
      <c r="BI25" s="26" t="s">
        <v>149</v>
      </c>
      <c r="BJ25" s="26" t="s">
        <v>150</v>
      </c>
      <c r="BK25" s="26"/>
      <c r="BL25" s="224">
        <v>0.73</v>
      </c>
      <c r="BM25" s="224">
        <v>0.813</v>
      </c>
      <c r="BN25" s="26"/>
      <c r="BO25" s="72">
        <v>0.703</v>
      </c>
      <c r="BP25" s="72">
        <v>0.84</v>
      </c>
      <c r="BQ25" s="26"/>
      <c r="BR25" s="26"/>
      <c r="BS25" s="27"/>
      <c r="BT25" s="26">
        <v>0.792</v>
      </c>
      <c r="BU25" s="26" t="s">
        <v>214</v>
      </c>
      <c r="BV25" s="26" t="s">
        <v>335</v>
      </c>
      <c r="BW25" s="26" t="s">
        <v>612</v>
      </c>
      <c r="BX25" s="26" t="s">
        <v>387</v>
      </c>
      <c r="BY25" s="26">
        <v>0.815</v>
      </c>
      <c r="BZ25" s="26" t="s">
        <v>233</v>
      </c>
      <c r="CA25" s="26" t="s">
        <v>286</v>
      </c>
      <c r="CB25" s="26" t="s">
        <v>613</v>
      </c>
      <c r="CC25" s="26" t="s">
        <v>614</v>
      </c>
      <c r="CD25" s="26" t="s">
        <v>615</v>
      </c>
      <c r="CE25" s="26" t="s">
        <v>612</v>
      </c>
      <c r="CF25" s="26" t="s">
        <v>616</v>
      </c>
      <c r="CG25" s="26" t="s">
        <v>314</v>
      </c>
      <c r="CH25" s="4">
        <v>0.9836400818</v>
      </c>
      <c r="CI25" s="4">
        <v>0.977131647</v>
      </c>
      <c r="CJ25" s="4">
        <v>0.9905419223</v>
      </c>
      <c r="CK25" s="4">
        <v>0.846962331</v>
      </c>
      <c r="CL25" s="4">
        <v>0.6351495797</v>
      </c>
      <c r="CM25" s="144">
        <v>0.646</v>
      </c>
      <c r="CN25" s="144">
        <v>0.687</v>
      </c>
      <c r="CO25" s="144">
        <v>0.321</v>
      </c>
      <c r="CP25" s="144">
        <v>0.099</v>
      </c>
      <c r="CQ25" s="25" t="s">
        <v>103</v>
      </c>
      <c r="CR25" s="26" t="s">
        <v>497</v>
      </c>
      <c r="CS25" s="26" t="s">
        <v>634</v>
      </c>
      <c r="CT25" s="26" t="s">
        <v>106</v>
      </c>
      <c r="CU25" s="26" t="s">
        <v>223</v>
      </c>
      <c r="CV25" s="26" t="s">
        <v>273</v>
      </c>
      <c r="CW25" s="26" t="s">
        <v>610</v>
      </c>
      <c r="CX25" s="26" t="s">
        <v>565</v>
      </c>
      <c r="CY25" s="26" t="s">
        <v>82</v>
      </c>
      <c r="CZ25" s="26" t="s">
        <v>480</v>
      </c>
      <c r="DA25" s="26" t="s">
        <v>732</v>
      </c>
      <c r="DB25" s="26" t="s">
        <v>480</v>
      </c>
      <c r="DC25" s="26" t="s">
        <v>443</v>
      </c>
      <c r="DD25" s="26" t="s">
        <v>286</v>
      </c>
      <c r="DE25" s="26" t="s">
        <v>546</v>
      </c>
      <c r="DF25" s="26" t="s">
        <v>795</v>
      </c>
      <c r="DG25" s="26" t="s">
        <v>796</v>
      </c>
      <c r="DH25" s="26" t="s">
        <v>797</v>
      </c>
      <c r="DI25" s="26">
        <v>0.929</v>
      </c>
      <c r="DJ25" s="26" t="s">
        <v>247</v>
      </c>
      <c r="DK25" s="26" t="s">
        <v>360</v>
      </c>
      <c r="DL25" s="26" t="s">
        <v>617</v>
      </c>
      <c r="DM25" s="27" t="s">
        <v>618</v>
      </c>
      <c r="DO25" s="108">
        <f t="shared" ref="DO25:DS25" si="125">IFERROR(AVERAGE(IFERROR(VALUE(C25),""),IFERROR(VALUE(H25),""),IFERROR(VALUE(M25),""),IFERROR(VALUE(R25),""),IFERROR(VALUE(W25),""),IFERROR(VALUE(AB25),"")),"")</f>
        <v>0.7088333333</v>
      </c>
      <c r="DP25" s="42">
        <f t="shared" si="125"/>
        <v>0.7036666667</v>
      </c>
      <c r="DQ25" s="273">
        <f t="shared" si="125"/>
        <v>0.5566666667</v>
      </c>
      <c r="DR25" s="274">
        <f t="shared" si="125"/>
        <v>0.4478333333</v>
      </c>
      <c r="DS25" s="275">
        <f t="shared" si="125"/>
        <v>0.1641666667</v>
      </c>
      <c r="DT25" s="73">
        <f t="shared" ref="DT25:DV25" si="126">IFERROR(AVERAGE(IFERROR(VALUE(AG25),""),IFERROR(VALUE(AJ25),""),IFERROR(VALUE(AM25),""),IFERROR(VALUE(AP25),""),IFERROR(VALUE(AS25),"")),"")</f>
        <v>0.3154</v>
      </c>
      <c r="DU25" s="276">
        <f t="shared" si="126"/>
        <v>0.6938</v>
      </c>
      <c r="DV25" s="277">
        <f t="shared" si="126"/>
        <v>0.6584</v>
      </c>
      <c r="DW25" s="443">
        <f t="shared" ref="DW25:DX25" si="127">IFERROR(AVERAGE(IFERROR(VALUE(AW25),""),IFERROR(VALUE(AZ25),""),IFERROR(VALUE(BC25),""),IFERROR(VALUE(BF25),""),IFERROR(VALUE(BI25),"")),"")</f>
        <v>0.6596</v>
      </c>
      <c r="DX25" s="444">
        <f t="shared" si="127"/>
        <v>0.8034</v>
      </c>
      <c r="DY25" s="168">
        <f t="shared" si="98"/>
        <v>0.8635466939</v>
      </c>
      <c r="DZ25" s="41">
        <f t="shared" si="99"/>
        <v>0.7912263294</v>
      </c>
      <c r="EA25" s="237">
        <f t="shared" si="100"/>
        <v>0.7731083845</v>
      </c>
      <c r="EB25" s="42">
        <f t="shared" si="101"/>
        <v>0.5219924662</v>
      </c>
      <c r="EC25" s="441">
        <f t="shared" si="102"/>
        <v>0.3172299159</v>
      </c>
      <c r="ED25" s="33">
        <f t="shared" si="103"/>
        <v>0.929</v>
      </c>
      <c r="EE25" s="34">
        <f t="shared" ref="EE25:EF25" si="128">IFERROR(AVERAGE(IFERROR(VALUE(CQ25),""),IFERROR(VALUE(CW25),""),IFERROR(VALUE(DC25),""),IFERROR(VALUE(DJ25),"")),"")</f>
        <v>0.77925</v>
      </c>
      <c r="EF25" s="282">
        <f t="shared" si="128"/>
        <v>0.9185</v>
      </c>
      <c r="EG25" s="42">
        <f t="shared" ref="EG25:EH25" si="129">IFERROR(AVERAGE(IFERROR(VALUE(CU25),""),IFERROR(VALUE(DA25),""),IFERROR(VALUE(DG25),""),IFERROR(VALUE(DL25),"")),"")</f>
        <v>0.4875</v>
      </c>
      <c r="EH25" s="283">
        <f t="shared" si="129"/>
        <v>0.21175</v>
      </c>
      <c r="EI25" s="42">
        <f t="shared" ref="EI25:EJ25" si="130">IFERROR(AVERAGE(IFERROR(VALUE(CS25),""),IFERROR(VALUE(CY25),""),IFERROR(VALUE(DE25),"")),"")</f>
        <v>0.5366666667</v>
      </c>
      <c r="EJ25" s="411">
        <f t="shared" si="130"/>
        <v>0.1196666667</v>
      </c>
    </row>
    <row r="26">
      <c r="A26" s="52"/>
      <c r="B26" s="53" t="s">
        <v>725</v>
      </c>
      <c r="C26" s="25">
        <v>0.935</v>
      </c>
      <c r="D26" s="26" t="s">
        <v>620</v>
      </c>
      <c r="E26" s="26" t="s">
        <v>621</v>
      </c>
      <c r="F26" s="26" t="s">
        <v>441</v>
      </c>
      <c r="G26" s="26" t="s">
        <v>544</v>
      </c>
      <c r="H26" s="26">
        <v>0.798</v>
      </c>
      <c r="I26" s="26" t="s">
        <v>302</v>
      </c>
      <c r="J26" s="26" t="s">
        <v>591</v>
      </c>
      <c r="K26" s="26" t="s">
        <v>622</v>
      </c>
      <c r="L26" s="26" t="s">
        <v>623</v>
      </c>
      <c r="M26" s="26">
        <v>0.775</v>
      </c>
      <c r="N26" s="26" t="s">
        <v>62</v>
      </c>
      <c r="O26" s="26" t="s">
        <v>624</v>
      </c>
      <c r="P26" s="26" t="s">
        <v>625</v>
      </c>
      <c r="Q26" s="26" t="s">
        <v>626</v>
      </c>
      <c r="R26" s="26">
        <v>0.696</v>
      </c>
      <c r="S26" s="26" t="s">
        <v>627</v>
      </c>
      <c r="T26" s="26" t="s">
        <v>628</v>
      </c>
      <c r="U26" s="26" t="s">
        <v>629</v>
      </c>
      <c r="V26" s="26" t="s">
        <v>480</v>
      </c>
      <c r="W26" s="26">
        <v>0.942</v>
      </c>
      <c r="X26" s="26" t="s">
        <v>524</v>
      </c>
      <c r="Y26" s="26" t="s">
        <v>439</v>
      </c>
      <c r="Z26" s="26" t="s">
        <v>364</v>
      </c>
      <c r="AA26" s="26" t="s">
        <v>561</v>
      </c>
      <c r="AB26" s="26">
        <v>0.897</v>
      </c>
      <c r="AC26" s="26" t="s">
        <v>630</v>
      </c>
      <c r="AD26" s="26" t="s">
        <v>254</v>
      </c>
      <c r="AE26" s="26" t="s">
        <v>631</v>
      </c>
      <c r="AF26" s="27" t="s">
        <v>100</v>
      </c>
      <c r="AG26" s="26">
        <v>0.555</v>
      </c>
      <c r="AH26" s="26" t="s">
        <v>200</v>
      </c>
      <c r="AI26" s="26" t="s">
        <v>632</v>
      </c>
      <c r="AJ26" s="26">
        <v>0.109</v>
      </c>
      <c r="AK26" s="26" t="s">
        <v>556</v>
      </c>
      <c r="AL26" s="26" t="s">
        <v>633</v>
      </c>
      <c r="AM26" s="26">
        <v>0.536</v>
      </c>
      <c r="AN26" s="26" t="s">
        <v>159</v>
      </c>
      <c r="AO26" s="26" t="s">
        <v>634</v>
      </c>
      <c r="AP26" s="26">
        <v>0.303</v>
      </c>
      <c r="AQ26" s="26" t="s">
        <v>262</v>
      </c>
      <c r="AR26" s="26" t="s">
        <v>208</v>
      </c>
      <c r="AS26" s="26">
        <v>0.448</v>
      </c>
      <c r="AT26" s="26" t="s">
        <v>141</v>
      </c>
      <c r="AU26" s="26" t="s">
        <v>361</v>
      </c>
      <c r="AV26" s="25"/>
      <c r="AW26" s="26" t="s">
        <v>154</v>
      </c>
      <c r="AX26" s="26" t="s">
        <v>635</v>
      </c>
      <c r="AY26" s="26"/>
      <c r="AZ26" s="26" t="s">
        <v>569</v>
      </c>
      <c r="BA26" s="26" t="s">
        <v>91</v>
      </c>
      <c r="BB26" s="26"/>
      <c r="BC26" s="26" t="s">
        <v>247</v>
      </c>
      <c r="BD26" s="26" t="s">
        <v>366</v>
      </c>
      <c r="BE26" s="26"/>
      <c r="BF26" s="26" t="s">
        <v>513</v>
      </c>
      <c r="BG26" s="26" t="s">
        <v>636</v>
      </c>
      <c r="BH26" s="26"/>
      <c r="BI26" s="26" t="s">
        <v>137</v>
      </c>
      <c r="BJ26" s="26" t="s">
        <v>370</v>
      </c>
      <c r="BK26" s="26"/>
      <c r="BL26" s="72">
        <v>0.779</v>
      </c>
      <c r="BM26" s="72">
        <v>0.857</v>
      </c>
      <c r="BN26" s="26"/>
      <c r="BO26" s="72">
        <v>0.755</v>
      </c>
      <c r="BP26" s="72">
        <v>0.853</v>
      </c>
      <c r="BQ26" s="26"/>
      <c r="BR26" s="26"/>
      <c r="BS26" s="27"/>
      <c r="BT26" s="26">
        <v>0.839</v>
      </c>
      <c r="BU26" s="26" t="s">
        <v>205</v>
      </c>
      <c r="BV26" s="26" t="s">
        <v>401</v>
      </c>
      <c r="BW26" s="26" t="s">
        <v>159</v>
      </c>
      <c r="BX26" s="26" t="s">
        <v>72</v>
      </c>
      <c r="BY26" s="26">
        <v>0.892</v>
      </c>
      <c r="BZ26" s="26" t="s">
        <v>637</v>
      </c>
      <c r="CA26" s="26" t="s">
        <v>382</v>
      </c>
      <c r="CB26" s="26" t="s">
        <v>638</v>
      </c>
      <c r="CC26" s="26" t="s">
        <v>639</v>
      </c>
      <c r="CD26" s="26" t="s">
        <v>301</v>
      </c>
      <c r="CE26" s="26" t="s">
        <v>436</v>
      </c>
      <c r="CF26" s="26" t="s">
        <v>193</v>
      </c>
      <c r="CG26" s="26" t="s">
        <v>640</v>
      </c>
      <c r="CH26" s="4">
        <v>0.9539877301</v>
      </c>
      <c r="CI26" s="4">
        <v>0.8795869244</v>
      </c>
      <c r="CJ26" s="4">
        <v>0.9289366053</v>
      </c>
      <c r="CK26" s="4">
        <v>0.6753032505</v>
      </c>
      <c r="CL26" s="4">
        <v>0.3941974477</v>
      </c>
      <c r="CM26" s="144">
        <v>0.735</v>
      </c>
      <c r="CN26" s="402">
        <v>0.783</v>
      </c>
      <c r="CO26" s="144">
        <v>0.448</v>
      </c>
      <c r="CP26" s="402">
        <v>0.181</v>
      </c>
      <c r="CQ26" s="25" t="s">
        <v>541</v>
      </c>
      <c r="CR26" s="26" t="s">
        <v>729</v>
      </c>
      <c r="CS26" s="26" t="s">
        <v>684</v>
      </c>
      <c r="CT26" s="26" t="s">
        <v>798</v>
      </c>
      <c r="CU26" s="26" t="s">
        <v>508</v>
      </c>
      <c r="CV26" s="26" t="s">
        <v>799</v>
      </c>
      <c r="CW26" s="26" t="s">
        <v>502</v>
      </c>
      <c r="CX26" s="26" t="s">
        <v>325</v>
      </c>
      <c r="CY26" s="26" t="s">
        <v>186</v>
      </c>
      <c r="CZ26" s="26" t="s">
        <v>498</v>
      </c>
      <c r="DA26" s="26" t="s">
        <v>584</v>
      </c>
      <c r="DB26" s="26" t="s">
        <v>317</v>
      </c>
      <c r="DC26" s="26" t="s">
        <v>240</v>
      </c>
      <c r="DD26" s="26" t="s">
        <v>107</v>
      </c>
      <c r="DE26" s="26" t="s">
        <v>731</v>
      </c>
      <c r="DF26" s="26" t="s">
        <v>275</v>
      </c>
      <c r="DG26" s="26" t="s">
        <v>357</v>
      </c>
      <c r="DH26" s="26" t="s">
        <v>576</v>
      </c>
      <c r="DI26" s="26">
        <v>0.972</v>
      </c>
      <c r="DJ26" s="26" t="s">
        <v>641</v>
      </c>
      <c r="DK26" s="26" t="s">
        <v>163</v>
      </c>
      <c r="DL26" s="26" t="s">
        <v>642</v>
      </c>
      <c r="DM26" s="27" t="s">
        <v>70</v>
      </c>
      <c r="DO26" s="286">
        <f t="shared" ref="DO26:DS26" si="131">IFERROR(AVERAGE(IFERROR(VALUE(C26),""),IFERROR(VALUE(H26),""),IFERROR(VALUE(M26),""),IFERROR(VALUE(R26),""),IFERROR(VALUE(W26),""),IFERROR(VALUE(AB26),"")),"")</f>
        <v>0.8405</v>
      </c>
      <c r="DP26" s="287">
        <f t="shared" si="131"/>
        <v>0.811</v>
      </c>
      <c r="DQ26" s="288">
        <f t="shared" si="131"/>
        <v>0.738</v>
      </c>
      <c r="DR26" s="289">
        <f t="shared" si="131"/>
        <v>0.5943333333</v>
      </c>
      <c r="DS26" s="290">
        <f t="shared" si="131"/>
        <v>0.3426666667</v>
      </c>
      <c r="DT26" s="291">
        <f t="shared" ref="DT26:DV26" si="132">IFERROR(AVERAGE(IFERROR(VALUE(AG26),""),IFERROR(VALUE(AJ26),""),IFERROR(VALUE(AM26),""),IFERROR(VALUE(AP26),""),IFERROR(VALUE(AS26),"")),"")</f>
        <v>0.3902</v>
      </c>
      <c r="DU26" s="271">
        <f t="shared" si="132"/>
        <v>0.7194</v>
      </c>
      <c r="DV26" s="292">
        <f t="shared" si="132"/>
        <v>0.6318</v>
      </c>
      <c r="DW26" s="287">
        <f t="shared" ref="DW26:DX26" si="133">IFERROR(AVERAGE(IFERROR(VALUE(AW26),""),IFERROR(VALUE(AZ26),""),IFERROR(VALUE(BC26),""),IFERROR(VALUE(BF26),""),IFERROR(VALUE(BI26),"")),"")</f>
        <v>0.7072</v>
      </c>
      <c r="DX26" s="469">
        <f t="shared" si="133"/>
        <v>0.8466</v>
      </c>
      <c r="DY26" s="470">
        <f t="shared" si="98"/>
        <v>0.89499591</v>
      </c>
      <c r="DZ26" s="41">
        <f t="shared" si="99"/>
        <v>0.7959173849</v>
      </c>
      <c r="EA26" s="237">
        <f t="shared" si="100"/>
        <v>0.7921873211</v>
      </c>
      <c r="EB26" s="42">
        <f t="shared" si="101"/>
        <v>0.5270606501</v>
      </c>
      <c r="EC26" s="441">
        <f t="shared" si="102"/>
        <v>0.2890394895</v>
      </c>
      <c r="ED26" s="297">
        <f t="shared" si="103"/>
        <v>0.972</v>
      </c>
      <c r="EE26" s="254">
        <f t="shared" ref="EE26:EF26" si="134">IFERROR(AVERAGE(IFERROR(VALUE(CQ26),""),IFERROR(VALUE(CW26),""),IFERROR(VALUE(DC26),""),IFERROR(VALUE(DJ26),"")),"")</f>
        <v>0.81575</v>
      </c>
      <c r="EF26" s="229">
        <f t="shared" si="134"/>
        <v>0.92225</v>
      </c>
      <c r="EG26" s="298">
        <f t="shared" ref="EG26:EH26" si="135">IFERROR(AVERAGE(IFERROR(VALUE(CU26),""),IFERROR(VALUE(DA26),""),IFERROR(VALUE(DG26),""),IFERROR(VALUE(DL26),"")),"")</f>
        <v>0.62875</v>
      </c>
      <c r="EH26" s="299">
        <f t="shared" si="135"/>
        <v>0.50275</v>
      </c>
      <c r="EI26" s="471">
        <f t="shared" ref="EI26:EJ26" si="136">IFERROR(AVERAGE(IFERROR(VALUE(CS26),""),IFERROR(VALUE(CY26),""),IFERROR(VALUE(DE26),"")),"")</f>
        <v>0.6183333333</v>
      </c>
      <c r="EJ26" s="472">
        <f t="shared" si="136"/>
        <v>0.328</v>
      </c>
    </row>
    <row r="27">
      <c r="A27" s="52"/>
      <c r="B27" s="53" t="s">
        <v>726</v>
      </c>
      <c r="C27" s="25">
        <v>0.914</v>
      </c>
      <c r="D27" s="26" t="s">
        <v>644</v>
      </c>
      <c r="E27" s="26" t="s">
        <v>645</v>
      </c>
      <c r="F27" s="26" t="s">
        <v>646</v>
      </c>
      <c r="G27" s="26" t="s">
        <v>404</v>
      </c>
      <c r="H27" s="26">
        <v>0.789</v>
      </c>
      <c r="I27" s="26" t="s">
        <v>163</v>
      </c>
      <c r="J27" s="26" t="s">
        <v>231</v>
      </c>
      <c r="K27" s="26" t="s">
        <v>204</v>
      </c>
      <c r="L27" s="26" t="s">
        <v>498</v>
      </c>
      <c r="M27" s="26">
        <v>0.789</v>
      </c>
      <c r="N27" s="26" t="s">
        <v>123</v>
      </c>
      <c r="O27" s="26" t="s">
        <v>647</v>
      </c>
      <c r="P27" s="26" t="s">
        <v>351</v>
      </c>
      <c r="Q27" s="26" t="s">
        <v>217</v>
      </c>
      <c r="R27" s="26">
        <v>0.681</v>
      </c>
      <c r="S27" s="26" t="s">
        <v>88</v>
      </c>
      <c r="T27" s="26" t="s">
        <v>648</v>
      </c>
      <c r="U27" s="26" t="s">
        <v>157</v>
      </c>
      <c r="V27" s="26" t="s">
        <v>649</v>
      </c>
      <c r="W27" s="26">
        <v>0.906</v>
      </c>
      <c r="X27" s="26" t="s">
        <v>524</v>
      </c>
      <c r="Y27" s="26" t="s">
        <v>483</v>
      </c>
      <c r="Z27" s="26" t="s">
        <v>364</v>
      </c>
      <c r="AA27" s="26" t="s">
        <v>597</v>
      </c>
      <c r="AB27" s="26">
        <v>0.912</v>
      </c>
      <c r="AC27" s="26" t="s">
        <v>215</v>
      </c>
      <c r="AD27" s="26" t="s">
        <v>650</v>
      </c>
      <c r="AE27" s="26" t="s">
        <v>495</v>
      </c>
      <c r="AF27" s="27" t="s">
        <v>260</v>
      </c>
      <c r="AG27" s="26">
        <v>0.566</v>
      </c>
      <c r="AH27" s="26" t="s">
        <v>651</v>
      </c>
      <c r="AI27" s="26" t="s">
        <v>652</v>
      </c>
      <c r="AJ27" s="26">
        <v>0.118</v>
      </c>
      <c r="AK27" s="26" t="s">
        <v>479</v>
      </c>
      <c r="AL27" s="26" t="s">
        <v>653</v>
      </c>
      <c r="AM27" s="26">
        <v>0.527</v>
      </c>
      <c r="AN27" s="26" t="s">
        <v>564</v>
      </c>
      <c r="AO27" s="26" t="s">
        <v>255</v>
      </c>
      <c r="AP27" s="26">
        <v>0.366</v>
      </c>
      <c r="AQ27" s="26" t="s">
        <v>637</v>
      </c>
      <c r="AR27" s="26" t="s">
        <v>233</v>
      </c>
      <c r="AS27" s="26">
        <v>0.465</v>
      </c>
      <c r="AT27" s="26" t="s">
        <v>654</v>
      </c>
      <c r="AU27" s="26" t="s">
        <v>324</v>
      </c>
      <c r="AV27" s="25"/>
      <c r="AW27" s="26" t="s">
        <v>135</v>
      </c>
      <c r="AX27" s="26" t="s">
        <v>635</v>
      </c>
      <c r="AY27" s="26"/>
      <c r="AZ27" s="26" t="s">
        <v>282</v>
      </c>
      <c r="BA27" s="26" t="s">
        <v>492</v>
      </c>
      <c r="BB27" s="26"/>
      <c r="BC27" s="26" t="s">
        <v>391</v>
      </c>
      <c r="BD27" s="26" t="s">
        <v>140</v>
      </c>
      <c r="BE27" s="26"/>
      <c r="BF27" s="26" t="s">
        <v>513</v>
      </c>
      <c r="BG27" s="26" t="s">
        <v>396</v>
      </c>
      <c r="BH27" s="26"/>
      <c r="BI27" s="26" t="s">
        <v>164</v>
      </c>
      <c r="BJ27" s="26" t="s">
        <v>594</v>
      </c>
      <c r="BK27" s="26"/>
      <c r="BL27" s="72">
        <v>0.794</v>
      </c>
      <c r="BM27" s="72">
        <v>0.857</v>
      </c>
      <c r="BN27" s="26"/>
      <c r="BO27" s="26"/>
      <c r="BP27" s="26"/>
      <c r="BQ27" s="26"/>
      <c r="BR27" s="26"/>
      <c r="BS27" s="27"/>
      <c r="BT27" s="26">
        <v>0.834</v>
      </c>
      <c r="BU27" s="26" t="s">
        <v>162</v>
      </c>
      <c r="BV27" s="26" t="s">
        <v>242</v>
      </c>
      <c r="BW27" s="26" t="s">
        <v>548</v>
      </c>
      <c r="BX27" s="26" t="s">
        <v>623</v>
      </c>
      <c r="BY27" s="26">
        <v>0.894</v>
      </c>
      <c r="BZ27" s="26" t="s">
        <v>123</v>
      </c>
      <c r="CA27" s="26" t="s">
        <v>409</v>
      </c>
      <c r="CB27" s="26" t="s">
        <v>596</v>
      </c>
      <c r="CC27" s="26" t="s">
        <v>655</v>
      </c>
      <c r="CD27" s="26" t="s">
        <v>246</v>
      </c>
      <c r="CE27" s="26" t="s">
        <v>656</v>
      </c>
      <c r="CF27" s="26" t="s">
        <v>657</v>
      </c>
      <c r="CG27" s="26" t="s">
        <v>653</v>
      </c>
      <c r="CH27" s="4">
        <v>0.9440184049</v>
      </c>
      <c r="CI27" s="4">
        <v>0.8966524559</v>
      </c>
      <c r="CJ27" s="4">
        <v>0.9148773006</v>
      </c>
      <c r="CK27" s="4">
        <v>0.6807560083</v>
      </c>
      <c r="CL27" s="4">
        <v>0.3672806771</v>
      </c>
      <c r="CM27" s="144">
        <v>0.746</v>
      </c>
      <c r="CN27" s="144">
        <v>0.78</v>
      </c>
      <c r="CO27" s="402">
        <v>0.457</v>
      </c>
      <c r="CP27" s="144">
        <v>0.167</v>
      </c>
      <c r="CQ27" s="25" t="s">
        <v>151</v>
      </c>
      <c r="CR27" s="26" t="s">
        <v>461</v>
      </c>
      <c r="CS27" s="26" t="s">
        <v>332</v>
      </c>
      <c r="CT27" s="26" t="s">
        <v>270</v>
      </c>
      <c r="CU27" s="26" t="s">
        <v>443</v>
      </c>
      <c r="CV27" s="26" t="s">
        <v>778</v>
      </c>
      <c r="CW27" s="26" t="s">
        <v>502</v>
      </c>
      <c r="CX27" s="26" t="s">
        <v>800</v>
      </c>
      <c r="CY27" s="26" t="s">
        <v>291</v>
      </c>
      <c r="CZ27" s="26" t="s">
        <v>498</v>
      </c>
      <c r="DA27" s="26" t="s">
        <v>406</v>
      </c>
      <c r="DB27" s="26" t="s">
        <v>415</v>
      </c>
      <c r="DC27" s="26" t="s">
        <v>548</v>
      </c>
      <c r="DD27" s="26" t="s">
        <v>107</v>
      </c>
      <c r="DE27" s="26" t="s">
        <v>481</v>
      </c>
      <c r="DF27" s="26" t="s">
        <v>730</v>
      </c>
      <c r="DG27" s="26" t="s">
        <v>511</v>
      </c>
      <c r="DH27" s="26" t="s">
        <v>801</v>
      </c>
      <c r="DI27" s="26">
        <v>0.977</v>
      </c>
      <c r="DJ27" s="26" t="s">
        <v>286</v>
      </c>
      <c r="DK27" s="26" t="s">
        <v>134</v>
      </c>
      <c r="DL27" s="26" t="s">
        <v>350</v>
      </c>
      <c r="DM27" s="27" t="s">
        <v>658</v>
      </c>
      <c r="DO27" s="301">
        <f t="shared" ref="DO27:DS27" si="137">IFERROR(AVERAGE(IFERROR(VALUE(C27),""),IFERROR(VALUE(H27),""),IFERROR(VALUE(M27),""),IFERROR(VALUE(R27),""),IFERROR(VALUE(W27),""),IFERROR(VALUE(AB27),"")),"")</f>
        <v>0.8318333333</v>
      </c>
      <c r="DP27" s="138">
        <f t="shared" si="137"/>
        <v>0.813</v>
      </c>
      <c r="DQ27" s="138">
        <f t="shared" si="137"/>
        <v>0.7463333333</v>
      </c>
      <c r="DR27" s="302">
        <f t="shared" si="137"/>
        <v>0.6038333333</v>
      </c>
      <c r="DS27" s="303">
        <f t="shared" si="137"/>
        <v>0.3673333333</v>
      </c>
      <c r="DT27" s="65">
        <f t="shared" ref="DT27:DV27" si="138">IFERROR(AVERAGE(IFERROR(VALUE(AG27),""),IFERROR(VALUE(AJ27),""),IFERROR(VALUE(AM27),""),IFERROR(VALUE(AP27),""),IFERROR(VALUE(AS27),"")),"")</f>
        <v>0.4084</v>
      </c>
      <c r="DU27" s="138">
        <f t="shared" si="138"/>
        <v>0.7258</v>
      </c>
      <c r="DV27" s="304">
        <f t="shared" si="138"/>
        <v>0.6396</v>
      </c>
      <c r="DW27" s="138">
        <f t="shared" ref="DW27:DX27" si="139">IFERROR(AVERAGE(IFERROR(VALUE(AW27),""),IFERROR(VALUE(AZ27),""),IFERROR(VALUE(BC27),""),IFERROR(VALUE(BF27),""),IFERROR(VALUE(BI27),"")),"")</f>
        <v>0.7086</v>
      </c>
      <c r="DX27" s="473">
        <f t="shared" si="139"/>
        <v>0.84</v>
      </c>
      <c r="DY27" s="474">
        <f t="shared" si="98"/>
        <v>0.8906728016</v>
      </c>
      <c r="DZ27" s="41">
        <f t="shared" si="99"/>
        <v>0.8039304912</v>
      </c>
      <c r="EA27" s="237">
        <f t="shared" si="100"/>
        <v>0.7779754601</v>
      </c>
      <c r="EB27" s="42">
        <f t="shared" si="101"/>
        <v>0.5499512017</v>
      </c>
      <c r="EC27" s="441">
        <f t="shared" si="102"/>
        <v>0.2918561354</v>
      </c>
      <c r="ED27" s="307">
        <f t="shared" si="103"/>
        <v>0.977</v>
      </c>
      <c r="EE27" s="308">
        <f t="shared" ref="EE27:EF27" si="140">IFERROR(AVERAGE(IFERROR(VALUE(CQ27),""),IFERROR(VALUE(CW27),""),IFERROR(VALUE(DC27),""),IFERROR(VALUE(DJ27),"")),"")</f>
        <v>0.81175</v>
      </c>
      <c r="EF27" s="309">
        <f t="shared" si="140"/>
        <v>0.9195</v>
      </c>
      <c r="EG27" s="105">
        <f t="shared" ref="EG27:EH27" si="141">IFERROR(AVERAGE(IFERROR(VALUE(CU27),""),IFERROR(VALUE(DA27),""),IFERROR(VALUE(DG27),""),IFERROR(VALUE(DL27),"")),"")</f>
        <v>0.61675</v>
      </c>
      <c r="EH27" s="310">
        <f t="shared" si="141"/>
        <v>0.48475</v>
      </c>
      <c r="EI27" s="287">
        <f t="shared" ref="EI27:EJ27" si="142">IFERROR(AVERAGE(IFERROR(VALUE(CS27),""),IFERROR(VALUE(CY27),""),IFERROR(VALUE(DE27),"")),"")</f>
        <v>0.636</v>
      </c>
      <c r="EJ27" s="303">
        <f t="shared" si="142"/>
        <v>0.349</v>
      </c>
    </row>
    <row r="28">
      <c r="A28" s="52"/>
      <c r="B28" s="53" t="s">
        <v>727</v>
      </c>
      <c r="C28" s="25">
        <v>0.903</v>
      </c>
      <c r="D28" s="26" t="s">
        <v>75</v>
      </c>
      <c r="E28" s="26" t="s">
        <v>290</v>
      </c>
      <c r="F28" s="26" t="s">
        <v>301</v>
      </c>
      <c r="G28" s="26" t="s">
        <v>128</v>
      </c>
      <c r="H28" s="26">
        <v>0.818</v>
      </c>
      <c r="I28" s="26" t="s">
        <v>660</v>
      </c>
      <c r="J28" s="26" t="s">
        <v>219</v>
      </c>
      <c r="K28" s="26" t="s">
        <v>661</v>
      </c>
      <c r="L28" s="26" t="s">
        <v>319</v>
      </c>
      <c r="M28" s="26">
        <v>0.754</v>
      </c>
      <c r="N28" s="26" t="s">
        <v>368</v>
      </c>
      <c r="O28" s="26" t="s">
        <v>84</v>
      </c>
      <c r="P28" s="26" t="s">
        <v>662</v>
      </c>
      <c r="Q28" s="26" t="s">
        <v>157</v>
      </c>
      <c r="R28" s="26">
        <v>0.657</v>
      </c>
      <c r="S28" s="26" t="s">
        <v>284</v>
      </c>
      <c r="T28" s="26" t="s">
        <v>618</v>
      </c>
      <c r="U28" s="26" t="s">
        <v>663</v>
      </c>
      <c r="V28" s="26" t="s">
        <v>551</v>
      </c>
      <c r="W28" s="26">
        <v>0.871</v>
      </c>
      <c r="X28" s="26" t="s">
        <v>326</v>
      </c>
      <c r="Y28" s="26" t="s">
        <v>87</v>
      </c>
      <c r="Z28" s="26" t="s">
        <v>662</v>
      </c>
      <c r="AA28" s="26" t="s">
        <v>315</v>
      </c>
      <c r="AB28" s="26">
        <v>0.778</v>
      </c>
      <c r="AC28" s="26" t="s">
        <v>91</v>
      </c>
      <c r="AD28" s="26" t="s">
        <v>520</v>
      </c>
      <c r="AE28" s="26" t="s">
        <v>135</v>
      </c>
      <c r="AF28" s="27" t="s">
        <v>664</v>
      </c>
      <c r="AG28" s="26">
        <v>0.516</v>
      </c>
      <c r="AH28" s="26" t="s">
        <v>128</v>
      </c>
      <c r="AI28" s="26" t="s">
        <v>376</v>
      </c>
      <c r="AJ28" s="26">
        <v>0.099</v>
      </c>
      <c r="AK28" s="26" t="s">
        <v>330</v>
      </c>
      <c r="AL28" s="26" t="s">
        <v>592</v>
      </c>
      <c r="AM28" s="26">
        <v>0.546</v>
      </c>
      <c r="AN28" s="26" t="s">
        <v>582</v>
      </c>
      <c r="AO28" s="26" t="s">
        <v>546</v>
      </c>
      <c r="AP28" s="26">
        <v>0.19</v>
      </c>
      <c r="AQ28" s="26" t="s">
        <v>560</v>
      </c>
      <c r="AR28" s="26" t="s">
        <v>665</v>
      </c>
      <c r="AS28" s="26">
        <v>0.415</v>
      </c>
      <c r="AT28" s="26" t="s">
        <v>500</v>
      </c>
      <c r="AU28" s="26" t="s">
        <v>222</v>
      </c>
      <c r="AV28" s="25"/>
      <c r="AW28" s="26" t="s">
        <v>666</v>
      </c>
      <c r="AX28" s="26" t="s">
        <v>667</v>
      </c>
      <c r="AY28" s="26"/>
      <c r="AZ28" s="26" t="s">
        <v>656</v>
      </c>
      <c r="BA28" s="26" t="s">
        <v>668</v>
      </c>
      <c r="BB28" s="26"/>
      <c r="BC28" s="26" t="s">
        <v>132</v>
      </c>
      <c r="BD28" s="26" t="s">
        <v>236</v>
      </c>
      <c r="BE28" s="26"/>
      <c r="BF28" s="26" t="s">
        <v>80</v>
      </c>
      <c r="BG28" s="26" t="s">
        <v>455</v>
      </c>
      <c r="BH28" s="26"/>
      <c r="BI28" s="26" t="s">
        <v>95</v>
      </c>
      <c r="BJ28" s="26" t="s">
        <v>335</v>
      </c>
      <c r="BK28" s="26"/>
      <c r="BL28" s="26"/>
      <c r="BM28" s="26"/>
      <c r="BN28" s="26"/>
      <c r="BO28" s="26"/>
      <c r="BP28" s="26"/>
      <c r="BQ28" s="26"/>
      <c r="BR28" s="26"/>
      <c r="BS28" s="27"/>
      <c r="BT28" s="26">
        <v>0.923</v>
      </c>
      <c r="BU28" s="26" t="s">
        <v>615</v>
      </c>
      <c r="BV28" s="26" t="s">
        <v>594</v>
      </c>
      <c r="BW28" s="26" t="s">
        <v>386</v>
      </c>
      <c r="BX28" s="26" t="s">
        <v>496</v>
      </c>
      <c r="BY28" s="26">
        <v>0.943</v>
      </c>
      <c r="BZ28" s="26" t="s">
        <v>143</v>
      </c>
      <c r="CA28" s="26" t="s">
        <v>669</v>
      </c>
      <c r="CB28" s="26" t="s">
        <v>498</v>
      </c>
      <c r="CC28" s="26" t="s">
        <v>670</v>
      </c>
      <c r="CD28" s="26" t="s">
        <v>476</v>
      </c>
      <c r="CE28" s="26" t="s">
        <v>287</v>
      </c>
      <c r="CF28" s="26" t="s">
        <v>152</v>
      </c>
      <c r="CG28" s="26" t="s">
        <v>188</v>
      </c>
      <c r="CH28" s="4">
        <v>0.995398773</v>
      </c>
      <c r="CI28" s="4">
        <v>0.9890234858</v>
      </c>
      <c r="CJ28" s="4">
        <v>0.9961656442</v>
      </c>
      <c r="CK28" s="4">
        <v>0.9370619597</v>
      </c>
      <c r="CL28" s="4">
        <v>0.8036468401</v>
      </c>
      <c r="CM28" s="144">
        <v>0.716</v>
      </c>
      <c r="CN28" s="144">
        <v>0.727</v>
      </c>
      <c r="CO28" s="144">
        <v>0.402</v>
      </c>
      <c r="CP28" s="144">
        <v>0.127</v>
      </c>
      <c r="CQ28" s="25" t="s">
        <v>802</v>
      </c>
      <c r="CR28" s="26" t="s">
        <v>89</v>
      </c>
      <c r="CS28" s="26" t="s">
        <v>803</v>
      </c>
      <c r="CT28" s="26" t="s">
        <v>583</v>
      </c>
      <c r="CU28" s="26" t="s">
        <v>367</v>
      </c>
      <c r="CV28" s="26" t="s">
        <v>133</v>
      </c>
      <c r="CW28" s="26" t="s">
        <v>682</v>
      </c>
      <c r="CX28" s="26" t="s">
        <v>288</v>
      </c>
      <c r="CY28" s="26" t="s">
        <v>338</v>
      </c>
      <c r="CZ28" s="26" t="s">
        <v>680</v>
      </c>
      <c r="DA28" s="26" t="s">
        <v>594</v>
      </c>
      <c r="DB28" s="26" t="s">
        <v>804</v>
      </c>
      <c r="DC28" s="26" t="s">
        <v>665</v>
      </c>
      <c r="DD28" s="26" t="s">
        <v>107</v>
      </c>
      <c r="DE28" s="26" t="s">
        <v>374</v>
      </c>
      <c r="DF28" s="26" t="s">
        <v>805</v>
      </c>
      <c r="DG28" s="26" t="s">
        <v>633</v>
      </c>
      <c r="DH28" s="26" t="s">
        <v>777</v>
      </c>
      <c r="DI28" s="26">
        <v>0.98</v>
      </c>
      <c r="DJ28" s="26" t="s">
        <v>671</v>
      </c>
      <c r="DK28" s="26" t="s">
        <v>672</v>
      </c>
      <c r="DL28" s="26" t="s">
        <v>268</v>
      </c>
      <c r="DM28" s="27" t="s">
        <v>535</v>
      </c>
      <c r="DO28" s="312">
        <f t="shared" ref="DO28:DS28" si="143">IFERROR(AVERAGE(IFERROR(VALUE(C28),""),IFERROR(VALUE(H28),""),IFERROR(VALUE(M28),""),IFERROR(VALUE(R28),""),IFERROR(VALUE(W28),""),IFERROR(VALUE(AB28),"")),"")</f>
        <v>0.7968333333</v>
      </c>
      <c r="DP28" s="313">
        <f t="shared" si="143"/>
        <v>0.792</v>
      </c>
      <c r="DQ28" s="314">
        <f t="shared" si="143"/>
        <v>0.7073333333</v>
      </c>
      <c r="DR28" s="315">
        <f t="shared" si="143"/>
        <v>0.5621666667</v>
      </c>
      <c r="DS28" s="316">
        <f t="shared" si="143"/>
        <v>0.3266666667</v>
      </c>
      <c r="DT28" s="91">
        <f t="shared" ref="DT28:DV28" si="144">IFERROR(AVERAGE(IFERROR(VALUE(AG28),""),IFERROR(VALUE(AJ28),""),IFERROR(VALUE(AM28),""),IFERROR(VALUE(AP28),""),IFERROR(VALUE(AS28),"")),"")</f>
        <v>0.3532</v>
      </c>
      <c r="DU28" s="38">
        <f t="shared" si="144"/>
        <v>0.6868</v>
      </c>
      <c r="DV28" s="113">
        <f t="shared" si="144"/>
        <v>0.5934</v>
      </c>
      <c r="DW28" s="475">
        <f t="shared" ref="DW28:DX28" si="145">IFERROR(AVERAGE(IFERROR(VALUE(AW28),""),IFERROR(VALUE(AZ28),""),IFERROR(VALUE(BC28),""),IFERROR(VALUE(BF28),""),IFERROR(VALUE(BI28),"")),"")</f>
        <v>0.6856</v>
      </c>
      <c r="DX28" s="476">
        <f t="shared" si="145"/>
        <v>0.819</v>
      </c>
      <c r="DY28" s="422">
        <f t="shared" si="98"/>
        <v>0.953799591</v>
      </c>
      <c r="DZ28" s="41">
        <f t="shared" si="99"/>
        <v>0.8090046972</v>
      </c>
      <c r="EA28" s="237">
        <f t="shared" si="100"/>
        <v>0.7944331288</v>
      </c>
      <c r="EB28" s="42">
        <f t="shared" si="101"/>
        <v>0.5622123919</v>
      </c>
      <c r="EC28" s="441">
        <f t="shared" si="102"/>
        <v>0.382529368</v>
      </c>
      <c r="ED28" s="320">
        <f t="shared" si="103"/>
        <v>0.98</v>
      </c>
      <c r="EE28" s="321">
        <f t="shared" ref="EE28:EF28" si="146">IFERROR(AVERAGE(IFERROR(VALUE(CQ28),""),IFERROR(VALUE(CW28),""),IFERROR(VALUE(DC28),""),IFERROR(VALUE(DJ28),"")),"")</f>
        <v>0.80925</v>
      </c>
      <c r="EF28" s="322">
        <f t="shared" si="146"/>
        <v>0.92625</v>
      </c>
      <c r="EG28" s="299">
        <f t="shared" ref="EG28:EH28" si="147">IFERROR(AVERAGE(IFERROR(VALUE(CU28),""),IFERROR(VALUE(DA28),""),IFERROR(VALUE(DG28),""),IFERROR(VALUE(DL28),"")),"")</f>
        <v>0.61775</v>
      </c>
      <c r="EH28" s="310">
        <f t="shared" si="147"/>
        <v>0.4855</v>
      </c>
      <c r="EI28" s="216">
        <f t="shared" ref="EI28:EJ28" si="148">IFERROR(AVERAGE(IFERROR(VALUE(CS28),""),IFERROR(VALUE(CY28),""),IFERROR(VALUE(DE28),"")),"")</f>
        <v>0.604</v>
      </c>
      <c r="EJ28" s="477">
        <f t="shared" si="148"/>
        <v>0.2813333333</v>
      </c>
    </row>
    <row r="29">
      <c r="A29" s="166"/>
      <c r="B29" s="167" t="s">
        <v>728</v>
      </c>
      <c r="C29" s="325">
        <v>0.885</v>
      </c>
      <c r="D29" s="326" t="s">
        <v>395</v>
      </c>
      <c r="E29" s="326" t="s">
        <v>645</v>
      </c>
      <c r="F29" s="326" t="s">
        <v>140</v>
      </c>
      <c r="G29" s="326" t="s">
        <v>100</v>
      </c>
      <c r="H29" s="326">
        <v>0.755</v>
      </c>
      <c r="I29" s="326" t="s">
        <v>674</v>
      </c>
      <c r="J29" s="326" t="s">
        <v>236</v>
      </c>
      <c r="K29" s="326" t="s">
        <v>541</v>
      </c>
      <c r="L29" s="326" t="s">
        <v>675</v>
      </c>
      <c r="M29" s="326">
        <v>0.754</v>
      </c>
      <c r="N29" s="326" t="s">
        <v>195</v>
      </c>
      <c r="O29" s="326" t="s">
        <v>196</v>
      </c>
      <c r="P29" s="326" t="s">
        <v>676</v>
      </c>
      <c r="Q29" s="326" t="s">
        <v>677</v>
      </c>
      <c r="R29" s="326">
        <v>0.65</v>
      </c>
      <c r="S29" s="326" t="s">
        <v>124</v>
      </c>
      <c r="T29" s="326" t="s">
        <v>678</v>
      </c>
      <c r="U29" s="326" t="s">
        <v>381</v>
      </c>
      <c r="V29" s="326" t="s">
        <v>448</v>
      </c>
      <c r="W29" s="326">
        <v>0.863</v>
      </c>
      <c r="X29" s="326" t="s">
        <v>679</v>
      </c>
      <c r="Y29" s="326" t="s">
        <v>367</v>
      </c>
      <c r="Z29" s="326" t="s">
        <v>680</v>
      </c>
      <c r="AA29" s="326" t="s">
        <v>480</v>
      </c>
      <c r="AB29" s="326">
        <v>0.818</v>
      </c>
      <c r="AC29" s="326" t="s">
        <v>650</v>
      </c>
      <c r="AD29" s="326" t="s">
        <v>493</v>
      </c>
      <c r="AE29" s="326" t="s">
        <v>361</v>
      </c>
      <c r="AF29" s="327" t="s">
        <v>681</v>
      </c>
      <c r="AG29" s="326">
        <v>0.528</v>
      </c>
      <c r="AH29" s="326" t="s">
        <v>558</v>
      </c>
      <c r="AI29" s="326" t="s">
        <v>682</v>
      </c>
      <c r="AJ29" s="326">
        <v>0.099</v>
      </c>
      <c r="AK29" s="326" t="s">
        <v>463</v>
      </c>
      <c r="AL29" s="326" t="s">
        <v>683</v>
      </c>
      <c r="AM29" s="326">
        <v>0.536</v>
      </c>
      <c r="AN29" s="326" t="s">
        <v>587</v>
      </c>
      <c r="AO29" s="326" t="s">
        <v>138</v>
      </c>
      <c r="AP29" s="326">
        <v>0.17</v>
      </c>
      <c r="AQ29" s="326" t="s">
        <v>262</v>
      </c>
      <c r="AR29" s="326" t="s">
        <v>684</v>
      </c>
      <c r="AS29" s="326">
        <v>0.445</v>
      </c>
      <c r="AT29" s="326" t="s">
        <v>246</v>
      </c>
      <c r="AU29" s="326" t="s">
        <v>240</v>
      </c>
      <c r="AV29" s="325"/>
      <c r="AW29" s="326" t="s">
        <v>637</v>
      </c>
      <c r="AX29" s="326" t="s">
        <v>685</v>
      </c>
      <c r="AY29" s="326"/>
      <c r="AZ29" s="326" t="s">
        <v>686</v>
      </c>
      <c r="BA29" s="326" t="s">
        <v>687</v>
      </c>
      <c r="BB29" s="326"/>
      <c r="BC29" s="326" t="s">
        <v>471</v>
      </c>
      <c r="BD29" s="326" t="s">
        <v>135</v>
      </c>
      <c r="BE29" s="326"/>
      <c r="BF29" s="326" t="s">
        <v>154</v>
      </c>
      <c r="BG29" s="326" t="s">
        <v>688</v>
      </c>
      <c r="BH29" s="326"/>
      <c r="BI29" s="326" t="s">
        <v>311</v>
      </c>
      <c r="BJ29" s="326" t="s">
        <v>167</v>
      </c>
      <c r="BK29" s="326"/>
      <c r="BL29" s="326"/>
      <c r="BM29" s="326"/>
      <c r="BN29" s="326"/>
      <c r="BO29" s="326"/>
      <c r="BP29" s="326"/>
      <c r="BQ29" s="326"/>
      <c r="BR29" s="326"/>
      <c r="BS29" s="327"/>
      <c r="BT29" s="326">
        <v>0.883</v>
      </c>
      <c r="BU29" s="326" t="s">
        <v>132</v>
      </c>
      <c r="BV29" s="326" t="s">
        <v>309</v>
      </c>
      <c r="BW29" s="326" t="s">
        <v>363</v>
      </c>
      <c r="BX29" s="326" t="s">
        <v>689</v>
      </c>
      <c r="BY29" s="326">
        <v>0.879</v>
      </c>
      <c r="BZ29" s="326" t="s">
        <v>123</v>
      </c>
      <c r="CA29" s="326" t="s">
        <v>449</v>
      </c>
      <c r="CB29" s="326" t="s">
        <v>482</v>
      </c>
      <c r="CC29" s="326" t="s">
        <v>221</v>
      </c>
      <c r="CD29" s="326" t="s">
        <v>591</v>
      </c>
      <c r="CE29" s="326" t="s">
        <v>138</v>
      </c>
      <c r="CF29" s="326" t="s">
        <v>138</v>
      </c>
      <c r="CG29" s="326" t="s">
        <v>690</v>
      </c>
      <c r="CH29" s="412">
        <v>0.9905419223</v>
      </c>
      <c r="CI29" s="412">
        <v>0.9800828922</v>
      </c>
      <c r="CJ29" s="412">
        <v>0.9930981595</v>
      </c>
      <c r="CK29" s="412">
        <v>0.8984056943</v>
      </c>
      <c r="CL29" s="412">
        <v>0.7105403059</v>
      </c>
      <c r="CM29" s="413">
        <v>0.703</v>
      </c>
      <c r="CN29" s="413">
        <v>0.692</v>
      </c>
      <c r="CO29" s="413">
        <v>0.383</v>
      </c>
      <c r="CP29" s="413">
        <v>0.124</v>
      </c>
      <c r="CQ29" s="325" t="s">
        <v>283</v>
      </c>
      <c r="CR29" s="326" t="s">
        <v>652</v>
      </c>
      <c r="CS29" s="326" t="s">
        <v>83</v>
      </c>
      <c r="CT29" s="326" t="s">
        <v>512</v>
      </c>
      <c r="CU29" s="326" t="s">
        <v>112</v>
      </c>
      <c r="CV29" s="326" t="s">
        <v>570</v>
      </c>
      <c r="CW29" s="326" t="s">
        <v>620</v>
      </c>
      <c r="CX29" s="326" t="s">
        <v>674</v>
      </c>
      <c r="CY29" s="326" t="s">
        <v>139</v>
      </c>
      <c r="CZ29" s="326" t="s">
        <v>428</v>
      </c>
      <c r="DA29" s="326" t="s">
        <v>661</v>
      </c>
      <c r="DB29" s="326" t="s">
        <v>262</v>
      </c>
      <c r="DC29" s="326" t="s">
        <v>548</v>
      </c>
      <c r="DD29" s="326" t="s">
        <v>688</v>
      </c>
      <c r="DE29" s="326" t="s">
        <v>684</v>
      </c>
      <c r="DF29" s="326" t="s">
        <v>178</v>
      </c>
      <c r="DG29" s="326" t="s">
        <v>486</v>
      </c>
      <c r="DH29" s="326" t="s">
        <v>750</v>
      </c>
      <c r="DI29" s="326">
        <v>0.949</v>
      </c>
      <c r="DJ29" s="326" t="s">
        <v>691</v>
      </c>
      <c r="DK29" s="326" t="s">
        <v>141</v>
      </c>
      <c r="DL29" s="326" t="s">
        <v>67</v>
      </c>
      <c r="DM29" s="327" t="s">
        <v>472</v>
      </c>
      <c r="DO29" s="332">
        <f t="shared" ref="DO29:DS29" si="149">IFERROR(AVERAGE(IFERROR(VALUE(C29),""),IFERROR(VALUE(H29),""),IFERROR(VALUE(M29),""),IFERROR(VALUE(R29),""),IFERROR(VALUE(W29),""),IFERROR(VALUE(AB29),"")),"")</f>
        <v>0.7875</v>
      </c>
      <c r="DP29" s="333">
        <f t="shared" si="149"/>
        <v>0.7905</v>
      </c>
      <c r="DQ29" s="334">
        <f t="shared" si="149"/>
        <v>0.6926666667</v>
      </c>
      <c r="DR29" s="335">
        <f t="shared" si="149"/>
        <v>0.5361666667</v>
      </c>
      <c r="DS29" s="336">
        <f t="shared" si="149"/>
        <v>0.2746666667</v>
      </c>
      <c r="DT29" s="337">
        <f t="shared" ref="DT29:DV29" si="150">IFERROR(AVERAGE(IFERROR(VALUE(AG29),""),IFERROR(VALUE(AJ29),""),IFERROR(VALUE(AM29),""),IFERROR(VALUE(AP29),""),IFERROR(VALUE(AS29),"")),"")</f>
        <v>0.3556</v>
      </c>
      <c r="DU29" s="338">
        <f t="shared" si="150"/>
        <v>0.7042</v>
      </c>
      <c r="DV29" s="339">
        <f t="shared" si="150"/>
        <v>0.5528</v>
      </c>
      <c r="DW29" s="478">
        <f t="shared" ref="DW29:DX29" si="151">IFERROR(AVERAGE(IFERROR(VALUE(AW29),""),IFERROR(VALUE(AZ29),""),IFERROR(VALUE(BC29),""),IFERROR(VALUE(BF29),""),IFERROR(VALUE(BI29),"")),"")</f>
        <v>0.6842</v>
      </c>
      <c r="DX29" s="479">
        <f t="shared" si="151"/>
        <v>0.7942</v>
      </c>
      <c r="DY29" s="480">
        <f t="shared" si="98"/>
        <v>0.9175139741</v>
      </c>
      <c r="DZ29" s="41">
        <f t="shared" si="99"/>
        <v>0.8006165784</v>
      </c>
      <c r="EA29" s="237">
        <f t="shared" si="100"/>
        <v>0.7530196319</v>
      </c>
      <c r="EB29" s="42">
        <f t="shared" si="101"/>
        <v>0.5304811389</v>
      </c>
      <c r="EC29" s="441">
        <f t="shared" si="102"/>
        <v>0.3185080612</v>
      </c>
      <c r="ED29" s="345">
        <f t="shared" si="103"/>
        <v>0.949</v>
      </c>
      <c r="EE29" s="346">
        <f t="shared" ref="EE29:EF29" si="152">IFERROR(AVERAGE(IFERROR(VALUE(CQ29),""),IFERROR(VALUE(CW29),""),IFERROR(VALUE(DC29),""),IFERROR(VALUE(DJ29),"")),"")</f>
        <v>0.7755</v>
      </c>
      <c r="EF29" s="347">
        <f t="shared" si="152"/>
        <v>0.87875</v>
      </c>
      <c r="EG29" s="348">
        <f t="shared" ref="EG29:EH29" si="153">IFERROR(AVERAGE(IFERROR(VALUE(CU29),""),IFERROR(VALUE(DA29),""),IFERROR(VALUE(DG29),""),IFERROR(VALUE(DL29),"")),"")</f>
        <v>0.486</v>
      </c>
      <c r="EH29" s="349">
        <f t="shared" si="153"/>
        <v>0.3</v>
      </c>
      <c r="EI29" s="481">
        <f t="shared" ref="EI29:EJ29" si="154">IFERROR(AVERAGE(IFERROR(VALUE(CS29),""),IFERROR(VALUE(CY29),""),IFERROR(VALUE(DE29),"")),"")</f>
        <v>0.5846666667</v>
      </c>
      <c r="EJ29" s="482">
        <f t="shared" si="154"/>
        <v>0.2366666667</v>
      </c>
    </row>
    <row r="30"/>
    <row r="31"/>
    <row r="32"/>
    <row r="33"/>
    <row r="34"/>
    <row r="35"/>
    <row r="36"/>
    <row r="37"/>
    <row r="38">
      <c r="R38" s="1" t="s">
        <v>692</v>
      </c>
    </row>
    <row r="39">
      <c r="A39" s="1" t="s">
        <v>693</v>
      </c>
    </row>
    <row r="40"/>
    <row r="41"/>
    <row r="42"/>
    <row r="43"/>
    <row r="44"/>
    <row r="45">
      <c r="CD45" s="1" t="s">
        <v>13</v>
      </c>
      <c r="CH45" s="1" t="s">
        <v>14</v>
      </c>
      <c r="CI45" s="1" t="s">
        <v>15</v>
      </c>
    </row>
    <row r="46">
      <c r="BU46" s="1" t="s">
        <v>694</v>
      </c>
      <c r="CD46" s="1">
        <v>0.714</v>
      </c>
      <c r="CH46" s="1">
        <v>0.621</v>
      </c>
      <c r="CI46" s="1">
        <v>0.387</v>
      </c>
    </row>
    <row r="47">
      <c r="BU47" s="1" t="s">
        <v>695</v>
      </c>
      <c r="CD47" s="1">
        <v>0.282</v>
      </c>
      <c r="CH47" s="1">
        <v>0.755</v>
      </c>
      <c r="CI47" s="1">
        <v>0.491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conditionalFormatting sqref="DO5:DO47">
    <cfRule type="colorScale" priority="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P5:DP47">
    <cfRule type="colorScale" priority="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Q5:DQ47">
    <cfRule type="colorScale" priority="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R5:DR47">
    <cfRule type="colorScale" priority="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S5:DS47">
    <cfRule type="colorScale" priority="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T5:DT47">
    <cfRule type="colorScale" priority="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U5:DU47">
    <cfRule type="colorScale" priority="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V5:DV47">
    <cfRule type="colorScale" priority="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W5:DW47">
    <cfRule type="colorScale" priority="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X5:DX47">
    <cfRule type="colorScale" priority="1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Y5:DY47">
    <cfRule type="colorScale" priority="1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DZ5:DZ47">
    <cfRule type="colorScale" priority="12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A5:EA47">
    <cfRule type="colorScale" priority="13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B5:EB47">
    <cfRule type="colorScale" priority="14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C5:EC47">
    <cfRule type="colorScale" priority="15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D5:ED47">
    <cfRule type="colorScale" priority="16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E5:EE47">
    <cfRule type="colorScale" priority="17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F5:EF47">
    <cfRule type="colorScale" priority="18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G5:EG47">
    <cfRule type="colorScale" priority="19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H5:EH47">
    <cfRule type="colorScale" priority="20">
      <colorScale>
        <cfvo type="min"/>
        <cfvo type="percentile" val="50"/>
        <cfvo type="max"/>
        <color rgb="FFF8696B"/>
        <color rgb="FFFFD966"/>
        <color rgb="FF63BE7B"/>
      </colorScale>
    </cfRule>
  </conditionalFormatting>
  <conditionalFormatting sqref="EI5:EJ47">
    <cfRule type="colorScale" priority="21">
      <colorScale>
        <cfvo type="min"/>
        <cfvo type="percentile" val="50"/>
        <cfvo type="max"/>
        <color rgb="FFF8696B"/>
        <color rgb="FFFFD966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0.0"/>
    <col customWidth="1" min="2" max="2" width="31.71"/>
    <col customWidth="1" min="3" max="3" width="9.57"/>
    <col customWidth="1" min="4" max="5" width="11.86"/>
    <col customWidth="1" min="6" max="6" width="9.43"/>
    <col customWidth="1" min="9" max="9" width="8.0"/>
    <col customWidth="1" min="12" max="12" width="11.29"/>
    <col customWidth="1" min="15" max="15" width="9.71"/>
    <col customWidth="1" min="16" max="16" width="14.57"/>
    <col customWidth="1" min="17" max="20" width="11.57"/>
    <col customWidth="1" min="21" max="21" width="9.71"/>
    <col customWidth="1" min="22" max="22" width="11.14"/>
    <col customWidth="1" min="23" max="23" width="9.71"/>
    <col customWidth="1" min="24" max="24" width="12.71"/>
    <col customWidth="1" min="25" max="25" width="9.71"/>
    <col customWidth="1" min="26" max="26" width="12.0"/>
    <col customWidth="1" min="27" max="27" width="6.86"/>
    <col customWidth="1" min="28" max="28" width="12.57"/>
    <col customWidth="1" min="29" max="29" width="9.71"/>
    <col customWidth="1" min="30" max="30" width="11.86"/>
    <col customWidth="1" min="31" max="39" width="9.71"/>
    <col customWidth="1" min="40" max="46" width="11.71"/>
    <col customWidth="1" min="47" max="47" width="10.71"/>
    <col customWidth="1" min="48" max="48" width="12.14"/>
    <col customWidth="1" min="49" max="49" width="12.43"/>
    <col customWidth="1" min="50" max="50" width="11.0"/>
    <col customWidth="1" min="51" max="51" width="12.57"/>
    <col customWidth="1" min="52" max="52" width="15.57"/>
    <col customWidth="1" hidden="1" min="53" max="53" width="8.0"/>
    <col customWidth="1" min="54" max="54" width="12.57"/>
    <col customWidth="1" min="55" max="55" width="13.57"/>
    <col customWidth="1" min="56" max="56" width="6.57"/>
    <col customWidth="1" min="57" max="57" width="13.43"/>
    <col customWidth="1" min="58" max="58" width="12.14"/>
    <col customWidth="1" min="68" max="68" width="10.14"/>
    <col customWidth="1" min="69" max="70" width="13.14"/>
  </cols>
  <sheetData>
    <row r="1">
      <c r="A1" s="483" t="s">
        <v>806</v>
      </c>
      <c r="C1" s="224"/>
    </row>
    <row r="2">
      <c r="A2" s="483" t="s">
        <v>807</v>
      </c>
      <c r="C2" s="484" t="s">
        <v>2</v>
      </c>
      <c r="U2" s="484" t="s">
        <v>3</v>
      </c>
      <c r="Z2" s="224" t="s">
        <v>692</v>
      </c>
      <c r="AE2" s="484" t="s">
        <v>4</v>
      </c>
      <c r="AU2" s="484" t="s">
        <v>5</v>
      </c>
      <c r="BG2" s="484" t="s">
        <v>6</v>
      </c>
    </row>
    <row r="3">
      <c r="A3" s="224"/>
      <c r="B3" s="224"/>
      <c r="C3" s="180" t="s">
        <v>12</v>
      </c>
      <c r="D3" s="485"/>
      <c r="E3" s="486"/>
      <c r="F3" s="486" t="s">
        <v>13</v>
      </c>
      <c r="G3" s="485"/>
      <c r="H3" s="486"/>
      <c r="I3" s="486" t="s">
        <v>14</v>
      </c>
      <c r="J3" s="485"/>
      <c r="K3" s="486"/>
      <c r="L3" s="486" t="s">
        <v>15</v>
      </c>
      <c r="M3" s="485"/>
      <c r="N3" s="486"/>
      <c r="O3" s="486" t="s">
        <v>16</v>
      </c>
      <c r="P3" s="485"/>
      <c r="Q3" s="487"/>
      <c r="R3" s="486" t="s">
        <v>17</v>
      </c>
      <c r="S3" s="486"/>
      <c r="T3" s="486"/>
      <c r="U3" s="488" t="s">
        <v>18</v>
      </c>
      <c r="V3" s="485"/>
      <c r="W3" s="489" t="s">
        <v>19</v>
      </c>
      <c r="X3" s="489"/>
      <c r="Y3" s="489" t="s">
        <v>20</v>
      </c>
      <c r="Z3" s="489"/>
      <c r="AA3" s="489" t="s">
        <v>21</v>
      </c>
      <c r="AB3" s="489"/>
      <c r="AC3" s="489" t="s">
        <v>22</v>
      </c>
      <c r="AD3" s="487"/>
      <c r="AE3" s="180" t="s">
        <v>23</v>
      </c>
      <c r="AF3" s="486"/>
      <c r="AG3" s="486" t="s">
        <v>24</v>
      </c>
      <c r="AH3" s="486"/>
      <c r="AI3" s="486" t="s">
        <v>25</v>
      </c>
      <c r="AJ3" s="485"/>
      <c r="AK3" s="486" t="s">
        <v>26</v>
      </c>
      <c r="AL3" s="486"/>
      <c r="AM3" s="486" t="s">
        <v>27</v>
      </c>
      <c r="AN3" s="24"/>
      <c r="AO3" s="486" t="s">
        <v>28</v>
      </c>
      <c r="AP3" s="485"/>
      <c r="AQ3" s="486" t="s">
        <v>29</v>
      </c>
      <c r="AR3" s="486"/>
      <c r="AS3" s="486" t="s">
        <v>30</v>
      </c>
      <c r="AT3" s="24"/>
      <c r="AU3" s="180" t="s">
        <v>31</v>
      </c>
      <c r="AV3" s="485"/>
      <c r="AW3" s="486"/>
      <c r="AX3" s="486" t="s">
        <v>32</v>
      </c>
      <c r="AY3" s="485"/>
      <c r="AZ3" s="486"/>
      <c r="BA3" s="486" t="s">
        <v>808</v>
      </c>
      <c r="BB3" s="486" t="s">
        <v>33</v>
      </c>
      <c r="BC3" s="486"/>
      <c r="BD3" s="489" t="s">
        <v>34</v>
      </c>
      <c r="BE3" s="489"/>
      <c r="BF3" s="490"/>
      <c r="BG3" s="488" t="s">
        <v>36</v>
      </c>
      <c r="BH3" s="489"/>
      <c r="BI3" s="485"/>
      <c r="BJ3" s="486" t="s">
        <v>37</v>
      </c>
      <c r="BK3" s="486"/>
      <c r="BL3" s="486"/>
      <c r="BM3" s="486" t="s">
        <v>38</v>
      </c>
      <c r="BN3" s="486"/>
      <c r="BO3" s="486"/>
      <c r="BP3" s="489" t="s">
        <v>39</v>
      </c>
      <c r="BQ3" s="485"/>
      <c r="BR3" s="487"/>
    </row>
    <row r="4">
      <c r="C4" s="491" t="s">
        <v>44</v>
      </c>
      <c r="D4" s="492" t="s">
        <v>809</v>
      </c>
      <c r="E4" s="492" t="s">
        <v>810</v>
      </c>
      <c r="F4" s="492" t="s">
        <v>44</v>
      </c>
      <c r="G4" s="492" t="s">
        <v>809</v>
      </c>
      <c r="H4" s="492" t="s">
        <v>810</v>
      </c>
      <c r="I4" s="492" t="s">
        <v>44</v>
      </c>
      <c r="J4" s="492" t="s">
        <v>809</v>
      </c>
      <c r="K4" s="492" t="s">
        <v>810</v>
      </c>
      <c r="L4" s="492" t="s">
        <v>44</v>
      </c>
      <c r="M4" s="492" t="s">
        <v>809</v>
      </c>
      <c r="N4" s="492" t="s">
        <v>810</v>
      </c>
      <c r="O4" s="224" t="s">
        <v>44</v>
      </c>
      <c r="P4" s="492" t="s">
        <v>809</v>
      </c>
      <c r="Q4" s="324" t="s">
        <v>810</v>
      </c>
      <c r="R4" s="224" t="s">
        <v>44</v>
      </c>
      <c r="S4" s="492" t="s">
        <v>809</v>
      </c>
      <c r="T4" s="324" t="s">
        <v>810</v>
      </c>
      <c r="U4" s="493" t="s">
        <v>44</v>
      </c>
      <c r="V4" s="494" t="s">
        <v>809</v>
      </c>
      <c r="W4" s="494" t="s">
        <v>44</v>
      </c>
      <c r="X4" s="494" t="s">
        <v>809</v>
      </c>
      <c r="Y4" s="494" t="s">
        <v>44</v>
      </c>
      <c r="Z4" s="494" t="s">
        <v>809</v>
      </c>
      <c r="AA4" s="494" t="s">
        <v>44</v>
      </c>
      <c r="AB4" s="494" t="s">
        <v>809</v>
      </c>
      <c r="AC4" s="494" t="s">
        <v>44</v>
      </c>
      <c r="AD4" s="495" t="s">
        <v>809</v>
      </c>
      <c r="AE4" s="491" t="s">
        <v>44</v>
      </c>
      <c r="AF4" s="492" t="s">
        <v>809</v>
      </c>
      <c r="AG4" s="492" t="s">
        <v>44</v>
      </c>
      <c r="AH4" s="492" t="s">
        <v>809</v>
      </c>
      <c r="AI4" s="492" t="s">
        <v>44</v>
      </c>
      <c r="AJ4" s="492" t="s">
        <v>809</v>
      </c>
      <c r="AK4" s="492" t="s">
        <v>44</v>
      </c>
      <c r="AL4" s="492" t="s">
        <v>809</v>
      </c>
      <c r="AM4" s="492" t="s">
        <v>44</v>
      </c>
      <c r="AN4" s="324" t="s">
        <v>809</v>
      </c>
      <c r="AO4" s="492" t="s">
        <v>44</v>
      </c>
      <c r="AP4" s="492" t="s">
        <v>809</v>
      </c>
      <c r="AQ4" s="492" t="s">
        <v>44</v>
      </c>
      <c r="AR4" s="492" t="s">
        <v>809</v>
      </c>
      <c r="AS4" s="492" t="s">
        <v>44</v>
      </c>
      <c r="AT4" s="324" t="s">
        <v>809</v>
      </c>
      <c r="AU4" s="491" t="s">
        <v>44</v>
      </c>
      <c r="AV4" s="492" t="s">
        <v>809</v>
      </c>
      <c r="AW4" s="492" t="s">
        <v>810</v>
      </c>
      <c r="AX4" s="492" t="s">
        <v>44</v>
      </c>
      <c r="AY4" s="492" t="s">
        <v>809</v>
      </c>
      <c r="AZ4" s="492" t="s">
        <v>810</v>
      </c>
      <c r="BA4" s="494" t="s">
        <v>44</v>
      </c>
      <c r="BB4" s="492" t="s">
        <v>809</v>
      </c>
      <c r="BC4" s="492" t="s">
        <v>810</v>
      </c>
      <c r="BD4" s="494" t="s">
        <v>44</v>
      </c>
      <c r="BE4" s="494" t="s">
        <v>809</v>
      </c>
      <c r="BF4" s="495" t="s">
        <v>810</v>
      </c>
      <c r="BG4" s="494" t="s">
        <v>809</v>
      </c>
      <c r="BH4" s="494" t="s">
        <v>811</v>
      </c>
      <c r="BI4" s="494" t="s">
        <v>810</v>
      </c>
      <c r="BJ4" s="492" t="s">
        <v>809</v>
      </c>
      <c r="BK4" s="492" t="s">
        <v>811</v>
      </c>
      <c r="BL4" s="492" t="s">
        <v>810</v>
      </c>
      <c r="BM4" s="492" t="s">
        <v>809</v>
      </c>
      <c r="BN4" s="492" t="s">
        <v>811</v>
      </c>
      <c r="BO4" s="492" t="s">
        <v>810</v>
      </c>
      <c r="BP4" s="494" t="s">
        <v>44</v>
      </c>
      <c r="BQ4" s="495" t="s">
        <v>809</v>
      </c>
      <c r="BR4" s="495" t="s">
        <v>810</v>
      </c>
    </row>
    <row r="5">
      <c r="A5" s="180" t="s">
        <v>52</v>
      </c>
      <c r="B5" s="496" t="s">
        <v>53</v>
      </c>
      <c r="C5" s="497">
        <v>0.82</v>
      </c>
      <c r="D5" s="497" t="s">
        <v>812</v>
      </c>
      <c r="E5" s="497" t="s">
        <v>813</v>
      </c>
      <c r="F5" s="497">
        <v>0.332</v>
      </c>
      <c r="G5" s="497" t="s">
        <v>814</v>
      </c>
      <c r="H5" s="497" t="s">
        <v>815</v>
      </c>
      <c r="I5" s="497">
        <v>0.769</v>
      </c>
      <c r="J5" s="497" t="s">
        <v>816</v>
      </c>
      <c r="K5" s="497" t="s">
        <v>817</v>
      </c>
      <c r="L5" s="497">
        <v>0.639</v>
      </c>
      <c r="M5" s="497" t="s">
        <v>818</v>
      </c>
      <c r="N5" s="498" t="s">
        <v>819</v>
      </c>
      <c r="O5" s="497">
        <v>0.842</v>
      </c>
      <c r="P5" s="497" t="s">
        <v>820</v>
      </c>
      <c r="Q5" s="497" t="s">
        <v>821</v>
      </c>
      <c r="R5" s="499">
        <v>0.945</v>
      </c>
      <c r="S5" s="499" t="s">
        <v>822</v>
      </c>
      <c r="T5" s="499" t="s">
        <v>823</v>
      </c>
      <c r="U5" s="500">
        <v>0.428</v>
      </c>
      <c r="V5" s="501" t="s">
        <v>824</v>
      </c>
      <c r="W5" s="501">
        <v>0.094</v>
      </c>
      <c r="X5" s="501" t="s">
        <v>825</v>
      </c>
      <c r="Y5" s="501">
        <v>0.577</v>
      </c>
      <c r="Z5" s="501" t="s">
        <v>826</v>
      </c>
      <c r="AA5" s="502">
        <v>0.216</v>
      </c>
      <c r="AB5" s="502" t="s">
        <v>827</v>
      </c>
      <c r="AC5" s="503">
        <v>0.381</v>
      </c>
      <c r="AD5" s="504" t="s">
        <v>828</v>
      </c>
      <c r="AE5" s="505"/>
      <c r="AF5" s="457" t="s">
        <v>829</v>
      </c>
      <c r="AG5" s="457"/>
      <c r="AH5" s="457" t="s">
        <v>830</v>
      </c>
      <c r="AI5" s="457"/>
      <c r="AJ5" s="457" t="s">
        <v>831</v>
      </c>
      <c r="AK5" s="457"/>
      <c r="AL5" s="457" t="s">
        <v>832</v>
      </c>
      <c r="AM5" s="457"/>
      <c r="AN5" s="506" t="s">
        <v>833</v>
      </c>
      <c r="AO5" s="486"/>
      <c r="AP5" s="486"/>
      <c r="AQ5" s="486"/>
      <c r="AR5" s="486"/>
      <c r="AS5" s="486"/>
      <c r="AT5" s="486"/>
      <c r="AU5" s="505" t="s">
        <v>98</v>
      </c>
      <c r="AV5" s="457" t="s">
        <v>834</v>
      </c>
      <c r="AW5" s="457" t="s">
        <v>835</v>
      </c>
      <c r="AX5" s="72" t="s">
        <v>102</v>
      </c>
      <c r="AY5" s="72" t="s">
        <v>836</v>
      </c>
      <c r="AZ5" s="457" t="s">
        <v>837</v>
      </c>
      <c r="BA5" s="507">
        <v>0.993</v>
      </c>
      <c r="BB5" s="457" t="s">
        <v>838</v>
      </c>
      <c r="BC5" s="457" t="s">
        <v>839</v>
      </c>
      <c r="BD5" s="501"/>
      <c r="BE5" s="501" t="s">
        <v>840</v>
      </c>
      <c r="BF5" s="504" t="s">
        <v>841</v>
      </c>
      <c r="BG5" s="508" t="s">
        <v>842</v>
      </c>
      <c r="BH5" s="509" t="s">
        <v>843</v>
      </c>
      <c r="BI5" s="509" t="s">
        <v>844</v>
      </c>
      <c r="BJ5" s="510" t="s">
        <v>845</v>
      </c>
      <c r="BK5" s="510" t="s">
        <v>846</v>
      </c>
      <c r="BL5" s="511" t="s">
        <v>847</v>
      </c>
      <c r="BM5" s="511" t="s">
        <v>848</v>
      </c>
      <c r="BN5" s="511" t="s">
        <v>849</v>
      </c>
      <c r="BO5" s="511" t="s">
        <v>850</v>
      </c>
      <c r="BP5" s="509">
        <v>0.963</v>
      </c>
      <c r="BQ5" s="509" t="s">
        <v>851</v>
      </c>
      <c r="BR5" s="512" t="s">
        <v>852</v>
      </c>
    </row>
    <row r="6">
      <c r="A6" s="513"/>
      <c r="B6" s="514" t="s">
        <v>114</v>
      </c>
      <c r="C6" s="72">
        <v>0.903</v>
      </c>
      <c r="D6" s="72" t="s">
        <v>853</v>
      </c>
      <c r="E6" s="72" t="s">
        <v>854</v>
      </c>
      <c r="F6" s="72">
        <v>0.359</v>
      </c>
      <c r="G6" s="72" t="s">
        <v>855</v>
      </c>
      <c r="H6" s="72" t="s">
        <v>856</v>
      </c>
      <c r="I6" s="72">
        <v>0.81</v>
      </c>
      <c r="J6" s="72" t="s">
        <v>857</v>
      </c>
      <c r="K6" s="72" t="s">
        <v>856</v>
      </c>
      <c r="L6" s="72">
        <v>0.705</v>
      </c>
      <c r="M6" s="72" t="s">
        <v>858</v>
      </c>
      <c r="N6" s="72" t="s">
        <v>859</v>
      </c>
      <c r="O6" s="72">
        <v>0.935</v>
      </c>
      <c r="P6" s="72" t="s">
        <v>860</v>
      </c>
      <c r="Q6" s="72" t="s">
        <v>861</v>
      </c>
      <c r="R6" s="515">
        <v>0.93</v>
      </c>
      <c r="S6" s="516" t="s">
        <v>862</v>
      </c>
      <c r="T6" s="516" t="s">
        <v>863</v>
      </c>
      <c r="U6" s="517">
        <v>0.525</v>
      </c>
      <c r="V6" s="518" t="s">
        <v>864</v>
      </c>
      <c r="W6" s="518">
        <v>0.11</v>
      </c>
      <c r="X6" s="518" t="s">
        <v>865</v>
      </c>
      <c r="Y6" s="518">
        <v>0.544</v>
      </c>
      <c r="Z6" s="518" t="s">
        <v>866</v>
      </c>
      <c r="AA6" s="519">
        <v>0.351</v>
      </c>
      <c r="AB6" s="519" t="s">
        <v>867</v>
      </c>
      <c r="AC6" s="520">
        <v>0.373</v>
      </c>
      <c r="AD6" s="521" t="s">
        <v>868</v>
      </c>
      <c r="AE6" s="522"/>
      <c r="AF6" s="72" t="s">
        <v>869</v>
      </c>
      <c r="AG6" s="72"/>
      <c r="AH6" s="72" t="s">
        <v>870</v>
      </c>
      <c r="AI6" s="72"/>
      <c r="AJ6" s="72" t="s">
        <v>871</v>
      </c>
      <c r="AK6" s="72"/>
      <c r="AL6" s="72" t="s">
        <v>872</v>
      </c>
      <c r="AM6" s="72"/>
      <c r="AN6" s="142" t="s">
        <v>873</v>
      </c>
      <c r="AO6" s="224"/>
      <c r="AP6" s="224"/>
      <c r="AQ6" s="224"/>
      <c r="AR6" s="224" t="s">
        <v>874</v>
      </c>
      <c r="AS6" s="224"/>
      <c r="AT6" s="224"/>
      <c r="AU6" s="72">
        <v>0.907</v>
      </c>
      <c r="AV6" s="72" t="s">
        <v>875</v>
      </c>
      <c r="AW6" s="72" t="s">
        <v>876</v>
      </c>
      <c r="AX6" s="72">
        <v>0.872</v>
      </c>
      <c r="AY6" s="72" t="s">
        <v>877</v>
      </c>
      <c r="AZ6" s="72" t="s">
        <v>878</v>
      </c>
      <c r="BA6" s="518">
        <v>0.998</v>
      </c>
      <c r="BB6" s="72" t="s">
        <v>879</v>
      </c>
      <c r="BC6" s="72" t="s">
        <v>880</v>
      </c>
      <c r="BD6" s="523"/>
      <c r="BE6" s="523" t="s">
        <v>881</v>
      </c>
      <c r="BF6" s="524"/>
      <c r="BG6" s="525" t="s">
        <v>882</v>
      </c>
      <c r="BH6" s="508" t="s">
        <v>883</v>
      </c>
      <c r="BI6" s="508" t="s">
        <v>884</v>
      </c>
      <c r="BJ6" s="510" t="s">
        <v>885</v>
      </c>
      <c r="BK6" s="510" t="s">
        <v>886</v>
      </c>
      <c r="BL6" s="510" t="s">
        <v>887</v>
      </c>
      <c r="BM6" s="510" t="s">
        <v>888</v>
      </c>
      <c r="BN6" s="510" t="s">
        <v>889</v>
      </c>
      <c r="BO6" s="510" t="s">
        <v>890</v>
      </c>
      <c r="BP6" s="508">
        <v>0.985</v>
      </c>
      <c r="BQ6" s="508" t="s">
        <v>891</v>
      </c>
      <c r="BR6" s="526" t="s">
        <v>892</v>
      </c>
    </row>
    <row r="7" hidden="1">
      <c r="A7" s="513"/>
      <c r="B7" s="514" t="s">
        <v>696</v>
      </c>
      <c r="C7" s="72"/>
      <c r="D7" s="72"/>
      <c r="E7" s="72"/>
      <c r="F7" s="72"/>
      <c r="G7" s="72"/>
      <c r="H7" s="72"/>
      <c r="I7" s="72"/>
      <c r="J7" s="72" t="s">
        <v>893</v>
      </c>
      <c r="K7" s="72" t="s">
        <v>894</v>
      </c>
      <c r="L7" s="72"/>
      <c r="M7" s="72" t="s">
        <v>895</v>
      </c>
      <c r="N7" s="72"/>
      <c r="O7" s="527"/>
      <c r="P7" s="72" t="s">
        <v>896</v>
      </c>
      <c r="Q7" s="527"/>
      <c r="R7" s="528">
        <v>0.91</v>
      </c>
      <c r="S7" s="516" t="s">
        <v>897</v>
      </c>
      <c r="T7" s="516"/>
      <c r="U7" s="517"/>
      <c r="V7" s="518"/>
      <c r="W7" s="518"/>
      <c r="X7" s="518"/>
      <c r="Y7" s="518"/>
      <c r="Z7" s="518"/>
      <c r="AA7" s="519"/>
      <c r="AB7" s="519"/>
      <c r="AC7" s="520"/>
      <c r="AD7" s="529"/>
      <c r="AE7" s="530"/>
      <c r="AF7" s="527" t="s">
        <v>898</v>
      </c>
      <c r="AG7" s="531"/>
      <c r="AH7" s="72"/>
      <c r="AI7" s="531"/>
      <c r="AJ7" s="72"/>
      <c r="AK7" s="531"/>
      <c r="AL7" s="527"/>
      <c r="AM7" s="531"/>
      <c r="AN7" s="532"/>
      <c r="AO7" s="533"/>
      <c r="AP7" s="533"/>
      <c r="AQ7" s="533"/>
      <c r="AR7" s="533"/>
      <c r="AS7" s="533"/>
      <c r="AT7" s="533"/>
      <c r="AU7" s="534"/>
      <c r="AV7" s="534"/>
      <c r="AW7" s="534"/>
      <c r="AX7" s="534"/>
      <c r="AY7" s="534"/>
      <c r="AZ7" s="534"/>
      <c r="BA7" s="535"/>
      <c r="BB7" s="510"/>
      <c r="BC7" s="510"/>
      <c r="BD7" s="536"/>
      <c r="BE7" s="536"/>
      <c r="BF7" s="537"/>
      <c r="BG7" s="508"/>
      <c r="BH7" s="508"/>
      <c r="BI7" s="508"/>
      <c r="BJ7" s="510"/>
      <c r="BK7" s="510"/>
      <c r="BL7" s="510"/>
      <c r="BM7" s="538"/>
      <c r="BN7" s="510"/>
      <c r="BO7" s="538"/>
      <c r="BP7" s="508"/>
      <c r="BQ7" s="535"/>
      <c r="BR7" s="539"/>
    </row>
    <row r="8" hidden="1">
      <c r="A8" s="513"/>
      <c r="B8" s="514" t="s">
        <v>700</v>
      </c>
      <c r="C8" s="72">
        <v>0.888</v>
      </c>
      <c r="D8" s="72"/>
      <c r="E8" s="72"/>
      <c r="F8" s="72">
        <v>0.456</v>
      </c>
      <c r="G8" s="72" t="s">
        <v>899</v>
      </c>
      <c r="H8" s="72"/>
      <c r="I8" s="531">
        <v>0.829</v>
      </c>
      <c r="J8" s="72" t="s">
        <v>900</v>
      </c>
      <c r="K8" s="72"/>
      <c r="L8" s="72">
        <v>0.732</v>
      </c>
      <c r="M8" s="72"/>
      <c r="N8" s="72"/>
      <c r="O8" s="527"/>
      <c r="P8" s="72"/>
      <c r="Q8" s="527"/>
      <c r="R8" s="516"/>
      <c r="S8" s="516" t="s">
        <v>901</v>
      </c>
      <c r="T8" s="516" t="s">
        <v>902</v>
      </c>
      <c r="U8" s="517">
        <v>0.571</v>
      </c>
      <c r="V8" s="518" t="s">
        <v>903</v>
      </c>
      <c r="W8" s="518">
        <v>0.118</v>
      </c>
      <c r="X8" s="518" t="s">
        <v>904</v>
      </c>
      <c r="Y8" s="518"/>
      <c r="Z8" s="518"/>
      <c r="AA8" s="519"/>
      <c r="AB8" s="519"/>
      <c r="AC8" s="520"/>
      <c r="AD8" s="529"/>
      <c r="AE8" s="530"/>
      <c r="AF8" s="527"/>
      <c r="AG8" s="531"/>
      <c r="AH8" s="72"/>
      <c r="AI8" s="531"/>
      <c r="AJ8" s="72"/>
      <c r="AK8" s="531"/>
      <c r="AL8" s="527"/>
      <c r="AM8" s="531"/>
      <c r="AN8" s="532"/>
      <c r="AO8" s="533"/>
      <c r="AP8" s="533"/>
      <c r="AQ8" s="533"/>
      <c r="AR8" s="533"/>
      <c r="AS8" s="533"/>
      <c r="AT8" s="533"/>
      <c r="AU8" s="534"/>
      <c r="AV8" s="534"/>
      <c r="AW8" s="534"/>
      <c r="AX8" s="534"/>
      <c r="AY8" s="534"/>
      <c r="AZ8" s="534"/>
      <c r="BA8" s="535"/>
      <c r="BB8" s="510"/>
      <c r="BC8" s="510"/>
      <c r="BD8" s="536"/>
      <c r="BE8" s="536"/>
      <c r="BF8" s="537"/>
      <c r="BG8" s="508"/>
      <c r="BH8" s="508"/>
      <c r="BI8" s="508"/>
      <c r="BJ8" s="510"/>
      <c r="BK8" s="510"/>
      <c r="BL8" s="510"/>
      <c r="BM8" s="538"/>
      <c r="BN8" s="510"/>
      <c r="BO8" s="538"/>
      <c r="BP8" s="508"/>
      <c r="BQ8" s="535"/>
      <c r="BR8" s="539"/>
    </row>
    <row r="9">
      <c r="A9" s="513"/>
      <c r="B9" s="514" t="s">
        <v>166</v>
      </c>
      <c r="C9" s="522">
        <v>0.85</v>
      </c>
      <c r="D9" s="72" t="s">
        <v>905</v>
      </c>
      <c r="E9" s="72" t="s">
        <v>906</v>
      </c>
      <c r="F9" s="72">
        <v>0.247</v>
      </c>
      <c r="G9" s="72" t="s">
        <v>907</v>
      </c>
      <c r="H9" s="72" t="s">
        <v>908</v>
      </c>
      <c r="I9" s="72">
        <v>0.778</v>
      </c>
      <c r="J9" s="72" t="s">
        <v>909</v>
      </c>
      <c r="K9" s="72" t="s">
        <v>910</v>
      </c>
      <c r="L9" s="72">
        <v>0.635</v>
      </c>
      <c r="M9" s="72" t="s">
        <v>911</v>
      </c>
      <c r="N9" s="72" t="s">
        <v>912</v>
      </c>
      <c r="O9" s="527">
        <v>0.705</v>
      </c>
      <c r="P9" s="72" t="s">
        <v>913</v>
      </c>
      <c r="Q9" s="527" t="s">
        <v>914</v>
      </c>
      <c r="R9" s="516">
        <v>0.858</v>
      </c>
      <c r="S9" s="516" t="s">
        <v>915</v>
      </c>
      <c r="T9" s="516" t="s">
        <v>916</v>
      </c>
      <c r="U9" s="517">
        <v>0.403</v>
      </c>
      <c r="V9" s="518" t="s">
        <v>917</v>
      </c>
      <c r="W9" s="518">
        <v>0.077</v>
      </c>
      <c r="X9" s="518" t="s">
        <v>918</v>
      </c>
      <c r="Y9" s="518">
        <v>0.475</v>
      </c>
      <c r="Z9" s="518" t="s">
        <v>919</v>
      </c>
      <c r="AA9" s="519">
        <v>0.041</v>
      </c>
      <c r="AB9" s="519" t="s">
        <v>920</v>
      </c>
      <c r="AC9" s="520">
        <v>0.265</v>
      </c>
      <c r="AD9" s="529" t="s">
        <v>921</v>
      </c>
      <c r="AE9" s="530"/>
      <c r="AF9" s="527" t="s">
        <v>922</v>
      </c>
      <c r="AG9" s="531"/>
      <c r="AH9" s="72" t="s">
        <v>923</v>
      </c>
      <c r="AI9" s="531"/>
      <c r="AJ9" s="72" t="s">
        <v>924</v>
      </c>
      <c r="AK9" s="531"/>
      <c r="AL9" s="527" t="s">
        <v>925</v>
      </c>
      <c r="AM9" s="531"/>
      <c r="AN9" s="532" t="s">
        <v>926</v>
      </c>
      <c r="AO9" s="533"/>
      <c r="AP9" s="533"/>
      <c r="AQ9" s="533"/>
      <c r="AR9" s="533"/>
      <c r="AS9" s="533"/>
      <c r="AT9" s="533"/>
      <c r="AU9" s="534">
        <v>0.545</v>
      </c>
      <c r="AV9" s="534" t="s">
        <v>927</v>
      </c>
      <c r="AW9" s="534" t="s">
        <v>928</v>
      </c>
      <c r="AX9" s="534">
        <v>0.784</v>
      </c>
      <c r="AY9" s="534" t="s">
        <v>929</v>
      </c>
      <c r="AZ9" s="534" t="s">
        <v>930</v>
      </c>
      <c r="BA9" s="535">
        <v>0.581</v>
      </c>
      <c r="BB9" s="510" t="s">
        <v>931</v>
      </c>
      <c r="BC9" s="510" t="s">
        <v>932</v>
      </c>
      <c r="BD9" s="536"/>
      <c r="BE9" s="536" t="s">
        <v>933</v>
      </c>
      <c r="BF9" s="537"/>
      <c r="BG9" s="508" t="s">
        <v>934</v>
      </c>
      <c r="BH9" s="508" t="s">
        <v>935</v>
      </c>
      <c r="BI9" s="508" t="s">
        <v>936</v>
      </c>
      <c r="BJ9" s="510" t="s">
        <v>937</v>
      </c>
      <c r="BK9" s="510" t="s">
        <v>938</v>
      </c>
      <c r="BL9" s="510" t="s">
        <v>939</v>
      </c>
      <c r="BM9" s="510" t="s">
        <v>940</v>
      </c>
      <c r="BN9" s="510" t="s">
        <v>941</v>
      </c>
      <c r="BO9" s="510" t="s">
        <v>942</v>
      </c>
      <c r="BP9" s="508">
        <v>0.872</v>
      </c>
      <c r="BQ9" s="508" t="s">
        <v>943</v>
      </c>
      <c r="BR9" s="539" t="s">
        <v>944</v>
      </c>
    </row>
    <row r="10">
      <c r="A10" s="513"/>
      <c r="B10" s="514" t="s">
        <v>218</v>
      </c>
      <c r="C10" s="522">
        <v>0.867</v>
      </c>
      <c r="D10" s="72" t="s">
        <v>945</v>
      </c>
      <c r="E10" s="72" t="s">
        <v>946</v>
      </c>
      <c r="F10" s="72">
        <v>0.388</v>
      </c>
      <c r="G10" s="527" t="s">
        <v>947</v>
      </c>
      <c r="H10" s="527" t="s">
        <v>948</v>
      </c>
      <c r="I10" s="72">
        <v>0.782</v>
      </c>
      <c r="J10" s="72" t="s">
        <v>949</v>
      </c>
      <c r="K10" s="72" t="s">
        <v>950</v>
      </c>
      <c r="L10" s="72">
        <v>0.654</v>
      </c>
      <c r="M10" s="527" t="s">
        <v>951</v>
      </c>
      <c r="N10" s="527" t="s">
        <v>952</v>
      </c>
      <c r="O10" s="72">
        <v>0.899</v>
      </c>
      <c r="P10" s="72" t="s">
        <v>953</v>
      </c>
      <c r="Q10" s="527" t="s">
        <v>952</v>
      </c>
      <c r="R10" s="516">
        <v>0.958</v>
      </c>
      <c r="S10" s="516" t="s">
        <v>954</v>
      </c>
      <c r="T10" s="516" t="s">
        <v>955</v>
      </c>
      <c r="U10" s="517">
        <v>0.467</v>
      </c>
      <c r="V10" s="72" t="s">
        <v>956</v>
      </c>
      <c r="W10" s="518">
        <v>0.106</v>
      </c>
      <c r="X10" s="518" t="s">
        <v>957</v>
      </c>
      <c r="Y10" s="518">
        <v>0.541</v>
      </c>
      <c r="Z10" s="518" t="s">
        <v>826</v>
      </c>
      <c r="AA10" s="519">
        <v>0.247</v>
      </c>
      <c r="AB10" s="519" t="s">
        <v>958</v>
      </c>
      <c r="AC10" s="520">
        <v>0.43</v>
      </c>
      <c r="AD10" s="521" t="s">
        <v>959</v>
      </c>
      <c r="AE10" s="522"/>
      <c r="AF10" s="72" t="s">
        <v>960</v>
      </c>
      <c r="AG10" s="72"/>
      <c r="AH10" s="72" t="s">
        <v>961</v>
      </c>
      <c r="AI10" s="72"/>
      <c r="AJ10" s="224" t="s">
        <v>962</v>
      </c>
      <c r="AK10" s="72"/>
      <c r="AL10" s="72" t="s">
        <v>963</v>
      </c>
      <c r="AM10" s="72"/>
      <c r="AN10" s="540" t="s">
        <v>964</v>
      </c>
      <c r="AO10" s="527"/>
      <c r="AP10" s="527"/>
      <c r="AQ10" s="527"/>
      <c r="AR10" s="527"/>
      <c r="AS10" s="527"/>
      <c r="AT10" s="527"/>
      <c r="AU10" s="522" t="s">
        <v>245</v>
      </c>
      <c r="AV10" s="527" t="s">
        <v>965</v>
      </c>
      <c r="AW10" s="527" t="s">
        <v>966</v>
      </c>
      <c r="AX10" s="541" t="s">
        <v>967</v>
      </c>
      <c r="AY10" s="531" t="s">
        <v>968</v>
      </c>
      <c r="AZ10" s="72" t="s">
        <v>969</v>
      </c>
      <c r="BA10" s="518" t="s">
        <v>970</v>
      </c>
      <c r="BB10" s="72" t="s">
        <v>971</v>
      </c>
      <c r="BC10" s="531" t="s">
        <v>972</v>
      </c>
      <c r="BD10" s="523"/>
      <c r="BE10" s="523" t="s">
        <v>973</v>
      </c>
      <c r="BF10" s="524"/>
      <c r="BG10" s="508" t="s">
        <v>974</v>
      </c>
      <c r="BH10" s="508" t="s">
        <v>975</v>
      </c>
      <c r="BI10" s="508" t="s">
        <v>976</v>
      </c>
      <c r="BJ10" s="510" t="s">
        <v>977</v>
      </c>
      <c r="BK10" s="510" t="s">
        <v>978</v>
      </c>
      <c r="BL10" s="510" t="s">
        <v>979</v>
      </c>
      <c r="BM10" s="510" t="s">
        <v>980</v>
      </c>
      <c r="BN10" s="510" t="s">
        <v>981</v>
      </c>
      <c r="BO10" s="510" t="s">
        <v>982</v>
      </c>
      <c r="BP10" s="508">
        <v>0.981</v>
      </c>
      <c r="BQ10" s="508" t="s">
        <v>983</v>
      </c>
      <c r="BR10" s="526" t="s">
        <v>984</v>
      </c>
    </row>
    <row r="11">
      <c r="A11" s="513"/>
      <c r="B11" s="514" t="s">
        <v>261</v>
      </c>
      <c r="C11" s="522">
        <v>0.852</v>
      </c>
      <c r="D11" s="527" t="s">
        <v>985</v>
      </c>
      <c r="E11" s="527" t="s">
        <v>986</v>
      </c>
      <c r="F11" s="72">
        <v>0.318</v>
      </c>
      <c r="G11" s="527" t="s">
        <v>987</v>
      </c>
      <c r="H11" s="527" t="s">
        <v>988</v>
      </c>
      <c r="I11" s="72">
        <v>0.769</v>
      </c>
      <c r="J11" s="72" t="s">
        <v>989</v>
      </c>
      <c r="K11" s="72" t="s">
        <v>990</v>
      </c>
      <c r="L11" s="72">
        <v>0.6615</v>
      </c>
      <c r="M11" s="72" t="s">
        <v>991</v>
      </c>
      <c r="N11" s="72" t="s">
        <v>992</v>
      </c>
      <c r="O11" s="72">
        <v>0.77</v>
      </c>
      <c r="P11" s="72" t="s">
        <v>993</v>
      </c>
      <c r="Q11" s="527" t="s">
        <v>994</v>
      </c>
      <c r="R11" s="519">
        <v>0.858</v>
      </c>
      <c r="S11" s="516" t="s">
        <v>995</v>
      </c>
      <c r="T11" s="516" t="s">
        <v>996</v>
      </c>
      <c r="U11" s="517">
        <v>0.465</v>
      </c>
      <c r="V11" s="518" t="s">
        <v>997</v>
      </c>
      <c r="W11" s="518">
        <v>0.111</v>
      </c>
      <c r="X11" s="518"/>
      <c r="Y11" s="518">
        <v>0.472</v>
      </c>
      <c r="Z11" s="518" t="s">
        <v>998</v>
      </c>
      <c r="AA11" s="519">
        <v>0.344</v>
      </c>
      <c r="AB11" s="519" t="s">
        <v>999</v>
      </c>
      <c r="AC11" s="520">
        <v>0.309</v>
      </c>
      <c r="AD11" s="521" t="s">
        <v>1000</v>
      </c>
      <c r="AE11" s="517"/>
      <c r="AF11" s="72" t="s">
        <v>1001</v>
      </c>
      <c r="AG11" s="72"/>
      <c r="AH11" s="72" t="s">
        <v>1002</v>
      </c>
      <c r="AI11" s="72"/>
      <c r="AJ11" s="72" t="s">
        <v>1003</v>
      </c>
      <c r="AK11" s="72"/>
      <c r="AL11" s="72" t="s">
        <v>1004</v>
      </c>
      <c r="AM11" s="72"/>
      <c r="AN11" s="540" t="s">
        <v>1005</v>
      </c>
      <c r="AO11" s="527"/>
      <c r="AP11" s="527"/>
      <c r="AQ11" s="527"/>
      <c r="AR11" s="527"/>
      <c r="AS11" s="527"/>
      <c r="AT11" s="527"/>
      <c r="AU11" s="542">
        <v>0.89</v>
      </c>
      <c r="AV11" s="498" t="s">
        <v>1006</v>
      </c>
      <c r="AW11" s="498" t="s">
        <v>1007</v>
      </c>
      <c r="AX11" s="498">
        <v>0.927</v>
      </c>
      <c r="AY11" s="498" t="s">
        <v>1008</v>
      </c>
      <c r="AZ11" s="498" t="s">
        <v>1009</v>
      </c>
      <c r="BA11" s="523">
        <v>0.991</v>
      </c>
      <c r="BB11" s="498" t="s">
        <v>1010</v>
      </c>
      <c r="BC11" s="498" t="s">
        <v>1011</v>
      </c>
      <c r="BD11" s="523"/>
      <c r="BE11" s="523"/>
      <c r="BF11" s="524"/>
      <c r="BG11" s="523" t="s">
        <v>1012</v>
      </c>
      <c r="BH11" s="523" t="s">
        <v>1013</v>
      </c>
      <c r="BI11" s="523" t="s">
        <v>1014</v>
      </c>
      <c r="BJ11" s="498" t="s">
        <v>1015</v>
      </c>
      <c r="BK11" s="498" t="s">
        <v>1016</v>
      </c>
      <c r="BL11" s="498" t="s">
        <v>1017</v>
      </c>
      <c r="BM11" s="498" t="s">
        <v>1018</v>
      </c>
      <c r="BN11" s="498" t="s">
        <v>1019</v>
      </c>
      <c r="BO11" s="498" t="s">
        <v>1020</v>
      </c>
      <c r="BP11" s="523">
        <v>0.967</v>
      </c>
      <c r="BQ11" s="523" t="s">
        <v>1021</v>
      </c>
      <c r="BR11" s="524" t="s">
        <v>1022</v>
      </c>
    </row>
    <row r="12">
      <c r="A12" s="513"/>
      <c r="B12" s="514" t="s">
        <v>305</v>
      </c>
      <c r="C12" s="530">
        <v>0.926</v>
      </c>
      <c r="D12" s="72" t="s">
        <v>1023</v>
      </c>
      <c r="E12" s="72" t="s">
        <v>1024</v>
      </c>
      <c r="F12" s="72">
        <v>0.58</v>
      </c>
      <c r="G12" s="527" t="s">
        <v>1025</v>
      </c>
      <c r="H12" s="527" t="s">
        <v>1026</v>
      </c>
      <c r="I12" s="72">
        <v>0.804</v>
      </c>
      <c r="J12" s="531" t="s">
        <v>1027</v>
      </c>
      <c r="K12" s="72" t="s">
        <v>1028</v>
      </c>
      <c r="L12" s="531">
        <v>0.72</v>
      </c>
      <c r="M12" s="531" t="s">
        <v>1029</v>
      </c>
      <c r="N12" s="527" t="s">
        <v>1030</v>
      </c>
      <c r="O12" s="72">
        <v>0.885</v>
      </c>
      <c r="P12" s="72" t="s">
        <v>1031</v>
      </c>
      <c r="Q12" s="527" t="s">
        <v>1032</v>
      </c>
      <c r="R12" s="516">
        <v>0.912</v>
      </c>
      <c r="S12" s="516" t="s">
        <v>897</v>
      </c>
      <c r="T12" s="516" t="s">
        <v>1033</v>
      </c>
      <c r="U12" s="517">
        <v>0.601</v>
      </c>
      <c r="V12" s="543" t="s">
        <v>1034</v>
      </c>
      <c r="W12" s="518">
        <v>0.124</v>
      </c>
      <c r="X12" s="518" t="s">
        <v>1035</v>
      </c>
      <c r="Y12" s="543">
        <v>0.596</v>
      </c>
      <c r="Z12" s="518" t="s">
        <v>1036</v>
      </c>
      <c r="AA12" s="519">
        <v>0.159</v>
      </c>
      <c r="AB12" s="519" t="s">
        <v>1037</v>
      </c>
      <c r="AC12" s="520">
        <v>0.447</v>
      </c>
      <c r="AD12" s="521" t="s">
        <v>1038</v>
      </c>
      <c r="AE12" s="522"/>
      <c r="AF12" s="531" t="s">
        <v>1039</v>
      </c>
      <c r="AG12" s="72"/>
      <c r="AH12" s="531" t="s">
        <v>1040</v>
      </c>
      <c r="AI12" s="72"/>
      <c r="AJ12" s="531" t="s">
        <v>1041</v>
      </c>
      <c r="AK12" s="72"/>
      <c r="AL12" s="72" t="s">
        <v>1042</v>
      </c>
      <c r="AM12" s="72"/>
      <c r="AN12" s="146" t="s">
        <v>1043</v>
      </c>
      <c r="AO12" s="72"/>
      <c r="AP12" s="72"/>
      <c r="AQ12" s="72"/>
      <c r="AR12" s="72"/>
      <c r="AS12" s="72"/>
      <c r="AT12" s="72"/>
      <c r="AU12" s="72">
        <v>0.885</v>
      </c>
      <c r="AV12" s="531" t="s">
        <v>1044</v>
      </c>
      <c r="AW12" s="72" t="s">
        <v>1045</v>
      </c>
      <c r="AX12" s="72">
        <v>0.916</v>
      </c>
      <c r="AY12" s="72" t="s">
        <v>1046</v>
      </c>
      <c r="AZ12" s="72" t="s">
        <v>1047</v>
      </c>
      <c r="BA12" s="518">
        <v>1.0</v>
      </c>
      <c r="BB12" s="531" t="s">
        <v>1048</v>
      </c>
      <c r="BC12" s="72" t="s">
        <v>1049</v>
      </c>
      <c r="BD12" s="523"/>
      <c r="BE12" s="523" t="s">
        <v>1050</v>
      </c>
      <c r="BF12" s="544"/>
      <c r="BG12" s="545" t="s">
        <v>1051</v>
      </c>
      <c r="BH12" s="546" t="s">
        <v>1052</v>
      </c>
      <c r="BI12" s="535" t="s">
        <v>1053</v>
      </c>
      <c r="BJ12" s="510" t="s">
        <v>1054</v>
      </c>
      <c r="BK12" s="510" t="s">
        <v>1055</v>
      </c>
      <c r="BL12" s="510" t="s">
        <v>1056</v>
      </c>
      <c r="BM12" s="538" t="s">
        <v>1057</v>
      </c>
      <c r="BN12" s="510" t="s">
        <v>1058</v>
      </c>
      <c r="BO12" s="538" t="s">
        <v>1059</v>
      </c>
      <c r="BP12" s="508">
        <v>0.984</v>
      </c>
      <c r="BQ12" s="508" t="s">
        <v>1060</v>
      </c>
      <c r="BR12" s="526" t="s">
        <v>1061</v>
      </c>
    </row>
    <row r="13">
      <c r="A13" s="513"/>
      <c r="B13" s="547" t="s">
        <v>345</v>
      </c>
      <c r="C13" s="548">
        <v>0.897</v>
      </c>
      <c r="D13" s="510" t="s">
        <v>1062</v>
      </c>
      <c r="E13" s="510" t="s">
        <v>1063</v>
      </c>
      <c r="F13" s="549">
        <v>0.702</v>
      </c>
      <c r="G13" s="510" t="s">
        <v>1064</v>
      </c>
      <c r="H13" s="510" t="s">
        <v>1065</v>
      </c>
      <c r="I13" s="550">
        <v>0.782</v>
      </c>
      <c r="J13" s="510" t="s">
        <v>1066</v>
      </c>
      <c r="K13" s="510" t="s">
        <v>1067</v>
      </c>
      <c r="L13" s="551">
        <v>0.706</v>
      </c>
      <c r="M13" s="510" t="s">
        <v>1068</v>
      </c>
      <c r="N13" s="510" t="s">
        <v>1069</v>
      </c>
      <c r="O13" s="552">
        <v>0.885</v>
      </c>
      <c r="P13" s="510" t="s">
        <v>1070</v>
      </c>
      <c r="Q13" s="510" t="s">
        <v>1071</v>
      </c>
      <c r="R13" s="553">
        <v>0.805</v>
      </c>
      <c r="S13" s="553" t="s">
        <v>1072</v>
      </c>
      <c r="T13" s="553" t="s">
        <v>1073</v>
      </c>
      <c r="U13" s="554">
        <v>0.648</v>
      </c>
      <c r="V13" s="508" t="s">
        <v>1074</v>
      </c>
      <c r="W13" s="555">
        <v>0.148</v>
      </c>
      <c r="X13" s="508" t="s">
        <v>1075</v>
      </c>
      <c r="Y13" s="556">
        <v>0.431</v>
      </c>
      <c r="Z13" s="508" t="s">
        <v>1076</v>
      </c>
      <c r="AA13" s="519">
        <v>0.279</v>
      </c>
      <c r="AB13" s="519" t="s">
        <v>1077</v>
      </c>
      <c r="AC13" s="557">
        <v>0.455</v>
      </c>
      <c r="AD13" s="526" t="s">
        <v>1078</v>
      </c>
      <c r="AF13" s="72" t="s">
        <v>1079</v>
      </c>
      <c r="AG13" s="72"/>
      <c r="AH13" s="72" t="s">
        <v>1080</v>
      </c>
      <c r="AI13" s="72"/>
      <c r="AJ13" s="72" t="s">
        <v>1081</v>
      </c>
      <c r="AK13" s="72"/>
      <c r="AL13" s="72" t="s">
        <v>1082</v>
      </c>
      <c r="AM13" s="72"/>
      <c r="AN13" s="146" t="s">
        <v>1083</v>
      </c>
      <c r="AO13" s="72"/>
      <c r="AP13" s="72"/>
      <c r="AQ13" s="72"/>
      <c r="AR13" s="72"/>
      <c r="AS13" s="72"/>
      <c r="AT13" s="72"/>
      <c r="AU13" s="510">
        <v>0.916</v>
      </c>
      <c r="AV13" s="510" t="s">
        <v>1084</v>
      </c>
      <c r="AW13" s="510" t="s">
        <v>1085</v>
      </c>
      <c r="AX13" s="510">
        <v>0.956</v>
      </c>
      <c r="AY13" s="510" t="s">
        <v>1086</v>
      </c>
      <c r="AZ13" s="510" t="s">
        <v>1087</v>
      </c>
      <c r="BA13" s="508">
        <v>0.996</v>
      </c>
      <c r="BB13" s="510" t="s">
        <v>1088</v>
      </c>
      <c r="BC13" s="510" t="s">
        <v>1089</v>
      </c>
      <c r="BD13" s="558"/>
      <c r="BE13" s="558"/>
      <c r="BF13" s="559"/>
      <c r="BG13" s="546" t="s">
        <v>1090</v>
      </c>
      <c r="BH13" s="546" t="s">
        <v>1091</v>
      </c>
      <c r="BI13" s="508" t="s">
        <v>1092</v>
      </c>
      <c r="BJ13" s="510" t="s">
        <v>1093</v>
      </c>
      <c r="BK13" s="510" t="s">
        <v>1094</v>
      </c>
      <c r="BL13" s="510" t="s">
        <v>1095</v>
      </c>
      <c r="BM13" s="510" t="s">
        <v>1096</v>
      </c>
      <c r="BN13" s="510" t="s">
        <v>1097</v>
      </c>
      <c r="BO13" s="510" t="s">
        <v>1098</v>
      </c>
      <c r="BP13" s="508">
        <v>0.984</v>
      </c>
      <c r="BQ13" s="508" t="s">
        <v>1099</v>
      </c>
      <c r="BR13" s="526" t="s">
        <v>1100</v>
      </c>
    </row>
    <row r="14">
      <c r="A14" s="560"/>
      <c r="B14" s="561" t="s">
        <v>377</v>
      </c>
      <c r="C14" s="562">
        <v>0.831</v>
      </c>
      <c r="D14" s="563" t="s">
        <v>1101</v>
      </c>
      <c r="E14" s="563" t="s">
        <v>1102</v>
      </c>
      <c r="F14" s="563">
        <v>0.792</v>
      </c>
      <c r="G14" s="563" t="s">
        <v>1103</v>
      </c>
      <c r="H14" s="564" t="s">
        <v>1104</v>
      </c>
      <c r="I14" s="563">
        <v>0.628</v>
      </c>
      <c r="J14" s="563" t="s">
        <v>1105</v>
      </c>
      <c r="K14" s="563" t="s">
        <v>1106</v>
      </c>
      <c r="L14" s="563">
        <v>0.605</v>
      </c>
      <c r="M14" s="564" t="s">
        <v>1107</v>
      </c>
      <c r="N14" s="564" t="s">
        <v>1108</v>
      </c>
      <c r="O14" s="563">
        <v>0.928</v>
      </c>
      <c r="P14" s="565" t="s">
        <v>1109</v>
      </c>
      <c r="Q14" s="563" t="s">
        <v>1110</v>
      </c>
      <c r="R14" s="566">
        <v>0.823</v>
      </c>
      <c r="S14" s="566" t="s">
        <v>1111</v>
      </c>
      <c r="T14" s="566" t="s">
        <v>1112</v>
      </c>
      <c r="U14" s="567">
        <v>0.61</v>
      </c>
      <c r="V14" s="568" t="s">
        <v>1113</v>
      </c>
      <c r="W14" s="569">
        <v>0.149</v>
      </c>
      <c r="X14" s="568" t="s">
        <v>1114</v>
      </c>
      <c r="Y14" s="568">
        <v>0.464</v>
      </c>
      <c r="Z14" s="568" t="s">
        <v>1115</v>
      </c>
      <c r="AA14" s="570">
        <v>0.252</v>
      </c>
      <c r="AB14" s="570" t="s">
        <v>1116</v>
      </c>
      <c r="AC14" s="571">
        <v>0.365</v>
      </c>
      <c r="AD14" s="572" t="s">
        <v>1117</v>
      </c>
      <c r="AE14" s="562"/>
      <c r="AF14" s="563" t="s">
        <v>1118</v>
      </c>
      <c r="AG14" s="563"/>
      <c r="AH14" s="563" t="s">
        <v>1119</v>
      </c>
      <c r="AI14" s="563"/>
      <c r="AJ14" s="563" t="s">
        <v>1120</v>
      </c>
      <c r="AK14" s="563"/>
      <c r="AL14" s="563" t="s">
        <v>1121</v>
      </c>
      <c r="AM14" s="563"/>
      <c r="AN14" s="573" t="s">
        <v>1083</v>
      </c>
      <c r="AO14" s="563"/>
      <c r="AP14" s="563"/>
      <c r="AQ14" s="563"/>
      <c r="AR14" s="563"/>
      <c r="AS14" s="563"/>
      <c r="AT14" s="563"/>
      <c r="AU14" s="562">
        <v>0.912</v>
      </c>
      <c r="AV14" s="563" t="s">
        <v>1122</v>
      </c>
      <c r="AW14" s="563" t="s">
        <v>1123</v>
      </c>
      <c r="AX14" s="563">
        <v>0.918</v>
      </c>
      <c r="AY14" s="563" t="s">
        <v>1124</v>
      </c>
      <c r="AZ14" s="563" t="s">
        <v>1125</v>
      </c>
      <c r="BA14" s="568"/>
      <c r="BB14" s="563" t="s">
        <v>1126</v>
      </c>
      <c r="BC14" s="563" t="s">
        <v>1127</v>
      </c>
      <c r="BD14" s="574"/>
      <c r="BE14" s="574" t="s">
        <v>1128</v>
      </c>
      <c r="BF14" s="575"/>
      <c r="BG14" s="576" t="s">
        <v>1129</v>
      </c>
      <c r="BH14" s="576" t="s">
        <v>1130</v>
      </c>
      <c r="BI14" s="576" t="s">
        <v>1131</v>
      </c>
      <c r="BJ14" s="577" t="s">
        <v>1132</v>
      </c>
      <c r="BK14" s="578" t="s">
        <v>1133</v>
      </c>
      <c r="BL14" s="577" t="s">
        <v>1134</v>
      </c>
      <c r="BM14" s="577" t="s">
        <v>1135</v>
      </c>
      <c r="BN14" s="577" t="s">
        <v>1136</v>
      </c>
      <c r="BO14" s="577" t="s">
        <v>1137</v>
      </c>
      <c r="BP14" s="576">
        <v>0.973</v>
      </c>
      <c r="BQ14" s="576" t="s">
        <v>1138</v>
      </c>
      <c r="BR14" s="579" t="s">
        <v>1139</v>
      </c>
    </row>
    <row r="15" hidden="1">
      <c r="A15" s="496"/>
      <c r="B15" s="496" t="s">
        <v>1140</v>
      </c>
      <c r="C15" s="505">
        <v>0.832</v>
      </c>
      <c r="D15" s="457" t="s">
        <v>1141</v>
      </c>
      <c r="E15" s="457"/>
      <c r="F15" s="457" t="s">
        <v>1142</v>
      </c>
      <c r="G15" s="457" t="s">
        <v>1143</v>
      </c>
      <c r="H15" s="457"/>
      <c r="I15" s="457">
        <v>0.679</v>
      </c>
      <c r="J15" s="457" t="s">
        <v>1144</v>
      </c>
      <c r="K15" s="457"/>
      <c r="L15" s="457">
        <v>0.462</v>
      </c>
      <c r="M15" s="457" t="s">
        <v>1145</v>
      </c>
      <c r="N15" s="457"/>
      <c r="O15" s="580">
        <v>0.914</v>
      </c>
      <c r="P15" s="457" t="s">
        <v>1146</v>
      </c>
      <c r="Q15" s="457"/>
      <c r="R15" s="516"/>
      <c r="S15" s="499"/>
      <c r="T15" s="499"/>
      <c r="U15" s="581">
        <v>0.403</v>
      </c>
      <c r="V15" s="507" t="s">
        <v>1147</v>
      </c>
      <c r="W15" s="582"/>
      <c r="X15" s="507" t="s">
        <v>1148</v>
      </c>
      <c r="Y15" s="582"/>
      <c r="Z15" s="583" t="s">
        <v>1149</v>
      </c>
      <c r="AA15" s="502"/>
      <c r="AB15" s="502" t="s">
        <v>1150</v>
      </c>
      <c r="AC15" s="584"/>
      <c r="AD15" s="585" t="s">
        <v>1151</v>
      </c>
      <c r="AE15" s="586"/>
      <c r="AF15" s="587" t="s">
        <v>1152</v>
      </c>
      <c r="AG15" s="580"/>
      <c r="AH15" s="580"/>
      <c r="AI15" s="580"/>
      <c r="AJ15" s="580"/>
      <c r="AK15" s="580"/>
      <c r="AL15" s="580"/>
      <c r="AM15" s="580"/>
      <c r="AU15" s="505" t="s">
        <v>1153</v>
      </c>
      <c r="AV15" s="72" t="s">
        <v>1154</v>
      </c>
      <c r="AW15" s="457" t="s">
        <v>1155</v>
      </c>
      <c r="AX15" s="587" t="s">
        <v>1156</v>
      </c>
      <c r="AY15" s="587" t="s">
        <v>1157</v>
      </c>
      <c r="AZ15" s="587" t="s">
        <v>1158</v>
      </c>
      <c r="BA15" s="582">
        <v>1.0</v>
      </c>
      <c r="BB15" s="587" t="s">
        <v>1159</v>
      </c>
      <c r="BC15" s="587" t="s">
        <v>1160</v>
      </c>
      <c r="BD15" s="588"/>
      <c r="BE15" s="501"/>
      <c r="BF15" s="504"/>
      <c r="BG15" s="589" t="s">
        <v>250</v>
      </c>
      <c r="BH15" s="583"/>
      <c r="BI15" s="583" t="s">
        <v>1161</v>
      </c>
      <c r="BJ15" s="587" t="s">
        <v>1162</v>
      </c>
      <c r="BK15" s="587"/>
      <c r="BL15" s="587" t="s">
        <v>1163</v>
      </c>
      <c r="BM15" s="587" t="s">
        <v>1164</v>
      </c>
      <c r="BN15" s="587"/>
      <c r="BO15" s="587" t="s">
        <v>1165</v>
      </c>
      <c r="BP15" s="582"/>
      <c r="BQ15" s="582"/>
      <c r="BR15" s="585"/>
    </row>
    <row r="16" hidden="1">
      <c r="A16" s="590"/>
      <c r="B16" s="514" t="s">
        <v>1166</v>
      </c>
      <c r="C16" s="522"/>
      <c r="D16" s="531"/>
      <c r="E16" s="531"/>
      <c r="F16" s="72"/>
      <c r="G16" s="531"/>
      <c r="H16" s="531"/>
      <c r="I16" s="72"/>
      <c r="J16" s="72"/>
      <c r="K16" s="72"/>
      <c r="L16" s="72"/>
      <c r="M16" s="26"/>
      <c r="N16" s="26"/>
      <c r="O16" s="72"/>
      <c r="P16" s="72"/>
      <c r="Q16" s="72"/>
      <c r="R16" s="516"/>
      <c r="S16" s="516"/>
      <c r="T16" s="516"/>
      <c r="U16" s="517"/>
      <c r="V16" s="591"/>
      <c r="W16" s="518"/>
      <c r="X16" s="518"/>
      <c r="Y16" s="518"/>
      <c r="Z16" s="518"/>
      <c r="AA16" s="519"/>
      <c r="AB16" s="519"/>
      <c r="AC16" s="520"/>
      <c r="AD16" s="591"/>
      <c r="AE16" s="522"/>
      <c r="AF16" s="72"/>
      <c r="AG16" s="72"/>
      <c r="AH16" s="72"/>
      <c r="AI16" s="72"/>
      <c r="AJ16" s="72"/>
      <c r="AK16" s="72"/>
      <c r="AL16" s="72"/>
      <c r="AM16" s="72"/>
      <c r="AN16" s="142"/>
      <c r="AO16" s="224"/>
      <c r="AP16" s="224"/>
      <c r="AQ16" s="224"/>
      <c r="AR16" s="224"/>
      <c r="AS16" s="224"/>
      <c r="AT16" s="224"/>
      <c r="AU16" s="522"/>
      <c r="AV16" s="26"/>
      <c r="AW16" s="26"/>
      <c r="AX16" s="72"/>
      <c r="AY16" s="72"/>
      <c r="AZ16" s="72"/>
      <c r="BA16" s="518"/>
      <c r="BB16" s="72"/>
      <c r="BC16" s="72"/>
      <c r="BD16" s="523"/>
      <c r="BE16" s="523"/>
      <c r="BF16" s="524"/>
      <c r="BG16" s="591"/>
      <c r="BH16" s="591"/>
      <c r="BI16" s="591"/>
      <c r="BJ16" s="26"/>
      <c r="BK16" s="26"/>
      <c r="BL16" s="26"/>
      <c r="BM16" s="26"/>
      <c r="BN16" s="26"/>
      <c r="BO16" s="26"/>
      <c r="BP16" s="518"/>
      <c r="BQ16" s="518"/>
      <c r="BR16" s="591"/>
    </row>
    <row r="17" hidden="1">
      <c r="A17" s="590"/>
      <c r="B17" s="514" t="s">
        <v>1167</v>
      </c>
      <c r="C17" s="522"/>
      <c r="D17" s="527" t="s">
        <v>1168</v>
      </c>
      <c r="E17" s="527"/>
      <c r="F17" s="72"/>
      <c r="G17" s="527" t="s">
        <v>1169</v>
      </c>
      <c r="H17" s="527"/>
      <c r="I17" s="72"/>
      <c r="J17" s="72" t="s">
        <v>1170</v>
      </c>
      <c r="K17" s="72"/>
      <c r="L17" s="72"/>
      <c r="M17" s="72" t="s">
        <v>1171</v>
      </c>
      <c r="N17" s="72"/>
      <c r="O17" s="72"/>
      <c r="P17" s="72" t="s">
        <v>1172</v>
      </c>
      <c r="Q17" s="72"/>
      <c r="R17" s="516"/>
      <c r="S17" s="516"/>
      <c r="T17" s="516"/>
      <c r="U17" s="517"/>
      <c r="V17" s="518" t="s">
        <v>1173</v>
      </c>
      <c r="W17" s="518"/>
      <c r="X17" s="518" t="s">
        <v>1174</v>
      </c>
      <c r="Y17" s="518"/>
      <c r="Z17" s="518"/>
      <c r="AA17" s="519"/>
      <c r="AB17" s="519"/>
      <c r="AC17" s="520"/>
      <c r="AD17" s="521"/>
      <c r="AE17" s="522"/>
      <c r="AF17" s="72"/>
      <c r="AG17" s="72"/>
      <c r="AH17" s="72"/>
      <c r="AI17" s="72"/>
      <c r="AJ17" s="72"/>
      <c r="AK17" s="72"/>
      <c r="AL17" s="72"/>
      <c r="AM17" s="72"/>
      <c r="AN17" s="142"/>
      <c r="AO17" s="224"/>
      <c r="AP17" s="224"/>
      <c r="AQ17" s="224"/>
      <c r="AR17" s="224"/>
      <c r="AS17" s="224"/>
      <c r="AT17" s="224"/>
      <c r="AU17" s="522"/>
      <c r="AV17" s="72"/>
      <c r="AW17" s="72"/>
      <c r="AX17" s="72"/>
      <c r="AY17" s="72"/>
      <c r="AZ17" s="72"/>
      <c r="BA17" s="518"/>
      <c r="BB17" s="72"/>
      <c r="BC17" s="72"/>
      <c r="BD17" s="523"/>
      <c r="BE17" s="523"/>
      <c r="BF17" s="524"/>
      <c r="BG17" s="518"/>
      <c r="BH17" s="518"/>
      <c r="BI17" s="518"/>
      <c r="BJ17" s="72"/>
      <c r="BK17" s="72"/>
      <c r="BL17" s="72"/>
      <c r="BM17" s="72"/>
      <c r="BN17" s="72"/>
      <c r="BO17" s="72"/>
      <c r="BP17" s="518"/>
      <c r="BQ17" s="518"/>
      <c r="BR17" s="521"/>
    </row>
    <row r="18" hidden="1">
      <c r="A18" s="590"/>
      <c r="B18" s="514" t="s">
        <v>1175</v>
      </c>
      <c r="C18" s="522"/>
      <c r="D18" s="527" t="s">
        <v>1176</v>
      </c>
      <c r="E18" s="527"/>
      <c r="F18" s="72"/>
      <c r="G18" s="527" t="s">
        <v>1177</v>
      </c>
      <c r="H18" s="527"/>
      <c r="I18" s="72"/>
      <c r="J18" s="72" t="s">
        <v>1178</v>
      </c>
      <c r="K18" s="72"/>
      <c r="L18" s="72"/>
      <c r="M18" s="72" t="s">
        <v>1179</v>
      </c>
      <c r="N18" s="72"/>
      <c r="O18" s="72"/>
      <c r="P18" s="72" t="s">
        <v>1180</v>
      </c>
      <c r="Q18" s="72" t="s">
        <v>1181</v>
      </c>
      <c r="R18" s="516"/>
      <c r="S18" s="516"/>
      <c r="T18" s="516"/>
      <c r="U18" s="517"/>
      <c r="V18" s="518"/>
      <c r="W18" s="518"/>
      <c r="X18" s="518"/>
      <c r="Y18" s="518"/>
      <c r="Z18" s="518"/>
      <c r="AA18" s="519"/>
      <c r="AB18" s="519"/>
      <c r="AC18" s="520"/>
      <c r="AD18" s="521"/>
      <c r="AE18" s="522"/>
      <c r="AF18" s="72"/>
      <c r="AG18" s="72"/>
      <c r="AH18" s="72"/>
      <c r="AI18" s="72"/>
      <c r="AJ18" s="72"/>
      <c r="AK18" s="72"/>
      <c r="AL18" s="72"/>
      <c r="AM18" s="72"/>
      <c r="AN18" s="224"/>
      <c r="AO18" s="224"/>
      <c r="AP18" s="224"/>
      <c r="AQ18" s="224"/>
      <c r="AR18" s="224"/>
      <c r="AS18" s="224"/>
      <c r="AT18" s="224"/>
      <c r="AU18" s="522"/>
      <c r="AV18" s="72"/>
      <c r="AW18" s="72"/>
      <c r="AX18" s="72"/>
      <c r="AY18" s="72"/>
      <c r="AZ18" s="72"/>
      <c r="BA18" s="518"/>
      <c r="BB18" s="72"/>
      <c r="BC18" s="72"/>
      <c r="BD18" s="523"/>
      <c r="BE18" s="523"/>
      <c r="BF18" s="524"/>
      <c r="BG18" s="518"/>
      <c r="BH18" s="518"/>
      <c r="BI18" s="518"/>
      <c r="BJ18" s="72"/>
      <c r="BK18" s="72"/>
      <c r="BL18" s="72"/>
      <c r="BM18" s="72"/>
      <c r="BN18" s="72"/>
      <c r="BO18" s="72"/>
      <c r="BP18" s="518"/>
      <c r="BQ18" s="518"/>
      <c r="BR18" s="521"/>
    </row>
    <row r="19">
      <c r="A19" s="590"/>
      <c r="B19" s="514" t="s">
        <v>721</v>
      </c>
      <c r="C19" s="522">
        <v>0.9</v>
      </c>
      <c r="D19" s="527" t="s">
        <v>1182</v>
      </c>
      <c r="E19" s="527" t="s">
        <v>1183</v>
      </c>
      <c r="F19" s="72">
        <v>0.772</v>
      </c>
      <c r="G19" s="527" t="s">
        <v>1184</v>
      </c>
      <c r="H19" s="527" t="s">
        <v>1185</v>
      </c>
      <c r="I19" s="72">
        <v>0.75</v>
      </c>
      <c r="J19" s="72" t="s">
        <v>1186</v>
      </c>
      <c r="K19" s="72" t="s">
        <v>1187</v>
      </c>
      <c r="L19" s="72">
        <v>0.649</v>
      </c>
      <c r="M19" s="72" t="s">
        <v>1188</v>
      </c>
      <c r="N19" s="72" t="s">
        <v>1189</v>
      </c>
      <c r="O19" s="72">
        <v>0.899</v>
      </c>
      <c r="P19" s="72" t="s">
        <v>1190</v>
      </c>
      <c r="Q19" s="72" t="s">
        <v>1191</v>
      </c>
      <c r="R19" s="592">
        <v>0.83</v>
      </c>
      <c r="S19" s="516" t="s">
        <v>1192</v>
      </c>
      <c r="T19" s="516" t="s">
        <v>1193</v>
      </c>
      <c r="U19" s="517">
        <v>0.528</v>
      </c>
      <c r="V19" s="72" t="s">
        <v>1194</v>
      </c>
      <c r="W19" s="518">
        <v>0.129</v>
      </c>
      <c r="X19" s="72" t="s">
        <v>1195</v>
      </c>
      <c r="Y19" s="518">
        <v>0.505</v>
      </c>
      <c r="Z19" s="518" t="s">
        <v>1196</v>
      </c>
      <c r="AA19" s="519">
        <v>0.166</v>
      </c>
      <c r="AB19" s="519" t="s">
        <v>1197</v>
      </c>
      <c r="AC19" s="520">
        <v>0.482</v>
      </c>
      <c r="AD19" s="72" t="s">
        <v>1198</v>
      </c>
      <c r="AE19" s="522"/>
      <c r="AF19" s="224" t="s">
        <v>1199</v>
      </c>
      <c r="AG19" s="72"/>
      <c r="AH19" s="224" t="s">
        <v>1200</v>
      </c>
      <c r="AI19" s="72"/>
      <c r="AJ19" s="224" t="s">
        <v>1201</v>
      </c>
      <c r="AK19" s="72"/>
      <c r="AL19" s="72" t="s">
        <v>1202</v>
      </c>
      <c r="AM19" s="72"/>
      <c r="AN19" s="224" t="s">
        <v>1203</v>
      </c>
      <c r="AO19" s="224"/>
      <c r="AP19" s="224"/>
      <c r="AQ19" s="224"/>
      <c r="AR19" s="224"/>
      <c r="AS19" s="224"/>
      <c r="AT19" s="224"/>
      <c r="AU19" s="530">
        <v>0.932</v>
      </c>
      <c r="AV19" s="531" t="s">
        <v>1204</v>
      </c>
      <c r="AW19" s="72" t="s">
        <v>1205</v>
      </c>
      <c r="AX19" s="26"/>
      <c r="AY19" s="72" t="s">
        <v>1206</v>
      </c>
      <c r="AZ19" s="72" t="s">
        <v>1207</v>
      </c>
      <c r="BA19" s="518"/>
      <c r="BB19" s="72" t="s">
        <v>1208</v>
      </c>
      <c r="BC19" s="72" t="s">
        <v>1209</v>
      </c>
      <c r="BD19" s="523">
        <v>0.993</v>
      </c>
      <c r="BE19" s="536" t="s">
        <v>1210</v>
      </c>
      <c r="BF19" s="524" t="s">
        <v>1211</v>
      </c>
      <c r="BG19" s="518" t="s">
        <v>1212</v>
      </c>
      <c r="BH19" s="518" t="s">
        <v>1213</v>
      </c>
      <c r="BI19" s="518" t="s">
        <v>1214</v>
      </c>
      <c r="BJ19" s="72" t="s">
        <v>1215</v>
      </c>
      <c r="BK19" s="72" t="s">
        <v>1216</v>
      </c>
      <c r="BL19" s="531" t="s">
        <v>1217</v>
      </c>
      <c r="BM19" s="72" t="s">
        <v>1218</v>
      </c>
      <c r="BN19" s="72" t="s">
        <v>1219</v>
      </c>
      <c r="BO19" s="72" t="s">
        <v>1220</v>
      </c>
      <c r="BP19" s="543">
        <v>0.984</v>
      </c>
      <c r="BQ19" s="518" t="s">
        <v>1221</v>
      </c>
      <c r="BR19" s="521" t="s">
        <v>1222</v>
      </c>
    </row>
    <row r="20">
      <c r="A20" s="590"/>
      <c r="B20" s="514" t="s">
        <v>722</v>
      </c>
      <c r="C20" s="522">
        <v>0.906</v>
      </c>
      <c r="D20" s="527" t="s">
        <v>1223</v>
      </c>
      <c r="E20" s="527" t="s">
        <v>1224</v>
      </c>
      <c r="F20" s="72">
        <v>0.78</v>
      </c>
      <c r="G20" s="527" t="s">
        <v>1225</v>
      </c>
      <c r="H20" s="527" t="s">
        <v>1226</v>
      </c>
      <c r="I20" s="72">
        <v>0.752</v>
      </c>
      <c r="J20" s="72" t="s">
        <v>1227</v>
      </c>
      <c r="K20" s="72" t="s">
        <v>1228</v>
      </c>
      <c r="L20" s="593">
        <v>0.633</v>
      </c>
      <c r="M20" s="72" t="s">
        <v>1229</v>
      </c>
      <c r="N20" s="72" t="s">
        <v>1230</v>
      </c>
      <c r="O20" s="72">
        <v>0.921</v>
      </c>
      <c r="P20" s="72" t="s">
        <v>1231</v>
      </c>
      <c r="Q20" s="72" t="s">
        <v>1232</v>
      </c>
      <c r="R20" s="594">
        <v>0.723</v>
      </c>
      <c r="S20" s="516" t="s">
        <v>1233</v>
      </c>
      <c r="T20" s="516" t="s">
        <v>1234</v>
      </c>
      <c r="U20" s="517">
        <v>0.501</v>
      </c>
      <c r="V20" s="518" t="s">
        <v>1235</v>
      </c>
      <c r="W20" s="518">
        <v>0.12</v>
      </c>
      <c r="X20" s="518" t="s">
        <v>1236</v>
      </c>
      <c r="Y20" s="518">
        <v>0.486</v>
      </c>
      <c r="Z20" s="518" t="s">
        <v>1237</v>
      </c>
      <c r="AA20" s="519">
        <v>0.258</v>
      </c>
      <c r="AB20" s="519" t="s">
        <v>1238</v>
      </c>
      <c r="AC20" s="520">
        <v>0.459</v>
      </c>
      <c r="AD20" s="521" t="s">
        <v>1239</v>
      </c>
      <c r="AE20" s="522"/>
      <c r="AF20" s="72" t="s">
        <v>1240</v>
      </c>
      <c r="AG20" s="72"/>
      <c r="AH20" s="72" t="s">
        <v>1241</v>
      </c>
      <c r="AI20" s="72"/>
      <c r="AJ20" s="72" t="s">
        <v>1242</v>
      </c>
      <c r="AK20" s="72"/>
      <c r="AL20" s="72" t="s">
        <v>1243</v>
      </c>
      <c r="AM20" s="72"/>
      <c r="AN20" s="224" t="s">
        <v>1244</v>
      </c>
      <c r="AO20" s="224"/>
      <c r="AP20" s="224" t="s">
        <v>1245</v>
      </c>
      <c r="AQ20" s="224"/>
      <c r="AR20" s="224"/>
      <c r="AS20" s="224"/>
      <c r="AT20" s="224"/>
      <c r="AU20" s="522"/>
      <c r="AV20" s="72" t="s">
        <v>1246</v>
      </c>
      <c r="AW20" s="72" t="s">
        <v>1247</v>
      </c>
      <c r="AX20" s="72"/>
      <c r="AY20" s="72" t="s">
        <v>1248</v>
      </c>
      <c r="AZ20" s="72" t="s">
        <v>1249</v>
      </c>
      <c r="BA20" s="518"/>
      <c r="BB20" s="72" t="s">
        <v>1250</v>
      </c>
      <c r="BC20" s="72" t="s">
        <v>1251</v>
      </c>
      <c r="BD20" s="523">
        <v>0.991</v>
      </c>
      <c r="BE20" s="523" t="s">
        <v>1252</v>
      </c>
      <c r="BF20" s="524" t="s">
        <v>1253</v>
      </c>
      <c r="BG20" s="518" t="s">
        <v>1254</v>
      </c>
      <c r="BH20" s="518" t="s">
        <v>1255</v>
      </c>
      <c r="BI20" s="518" t="s">
        <v>1256</v>
      </c>
      <c r="BJ20" s="72" t="s">
        <v>1257</v>
      </c>
      <c r="BK20" s="72" t="s">
        <v>1258</v>
      </c>
      <c r="BL20" s="72" t="s">
        <v>1259</v>
      </c>
      <c r="BM20" s="72" t="s">
        <v>1260</v>
      </c>
      <c r="BN20" s="72" t="s">
        <v>1261</v>
      </c>
      <c r="BO20" s="72" t="s">
        <v>1262</v>
      </c>
      <c r="BP20" s="508">
        <v>0.982</v>
      </c>
      <c r="BQ20" s="508" t="s">
        <v>1263</v>
      </c>
      <c r="BR20" s="526" t="s">
        <v>1264</v>
      </c>
    </row>
    <row r="21">
      <c r="A21" s="590"/>
      <c r="B21" s="514" t="s">
        <v>414</v>
      </c>
      <c r="C21" s="522">
        <v>0.708</v>
      </c>
      <c r="D21" s="527" t="s">
        <v>1265</v>
      </c>
      <c r="E21" s="527" t="s">
        <v>1266</v>
      </c>
      <c r="F21" s="72">
        <v>0.235</v>
      </c>
      <c r="G21" s="527" t="s">
        <v>1267</v>
      </c>
      <c r="H21" s="527" t="s">
        <v>1268</v>
      </c>
      <c r="I21" s="72">
        <v>0.732</v>
      </c>
      <c r="J21" s="72" t="s">
        <v>1269</v>
      </c>
      <c r="K21" s="72" t="s">
        <v>1270</v>
      </c>
      <c r="L21" s="72">
        <v>0.566</v>
      </c>
      <c r="M21" s="72" t="s">
        <v>1271</v>
      </c>
      <c r="N21" s="72" t="s">
        <v>1272</v>
      </c>
      <c r="O21" s="72">
        <v>0.799</v>
      </c>
      <c r="P21" s="72" t="s">
        <v>1273</v>
      </c>
      <c r="Q21" s="72" t="s">
        <v>1274</v>
      </c>
      <c r="R21" s="516">
        <v>0.868</v>
      </c>
      <c r="S21" s="516" t="s">
        <v>1275</v>
      </c>
      <c r="T21" s="516" t="s">
        <v>1276</v>
      </c>
      <c r="U21" s="517">
        <v>0.343</v>
      </c>
      <c r="V21" s="518" t="s">
        <v>1277</v>
      </c>
      <c r="W21" s="518">
        <v>0.06</v>
      </c>
      <c r="X21" s="518" t="s">
        <v>1278</v>
      </c>
      <c r="Y21" s="518">
        <v>0.398</v>
      </c>
      <c r="Z21" s="518" t="s">
        <v>1279</v>
      </c>
      <c r="AA21" s="519">
        <v>0.145</v>
      </c>
      <c r="AB21" s="519" t="s">
        <v>1280</v>
      </c>
      <c r="AC21" s="520">
        <v>0.285</v>
      </c>
      <c r="AD21" s="521" t="s">
        <v>1281</v>
      </c>
      <c r="AE21" s="522"/>
      <c r="AF21" s="498" t="s">
        <v>1282</v>
      </c>
      <c r="AG21" s="498"/>
      <c r="AH21" s="498" t="s">
        <v>1283</v>
      </c>
      <c r="AI21" s="498"/>
      <c r="AJ21" s="498" t="s">
        <v>1284</v>
      </c>
      <c r="AK21" s="498"/>
      <c r="AL21" s="498" t="s">
        <v>1285</v>
      </c>
      <c r="AM21" s="498"/>
      <c r="AN21" s="595" t="s">
        <v>1286</v>
      </c>
      <c r="AO21" s="224"/>
      <c r="AP21" s="224"/>
      <c r="AQ21" s="224"/>
      <c r="AR21" s="224"/>
      <c r="AS21" s="224"/>
      <c r="AT21" s="224"/>
      <c r="AU21" s="522">
        <v>0.892</v>
      </c>
      <c r="AV21" s="72" t="s">
        <v>1287</v>
      </c>
      <c r="AW21" s="72" t="s">
        <v>1288</v>
      </c>
      <c r="AX21" s="72">
        <v>0.909</v>
      </c>
      <c r="AY21" s="72" t="s">
        <v>1289</v>
      </c>
      <c r="AZ21" s="72" t="s">
        <v>1290</v>
      </c>
      <c r="BA21" s="518"/>
      <c r="BB21" s="72" t="s">
        <v>1291</v>
      </c>
      <c r="BC21" s="72" t="s">
        <v>1292</v>
      </c>
      <c r="BD21" s="523"/>
      <c r="BE21" s="523" t="s">
        <v>1293</v>
      </c>
      <c r="BF21" s="524"/>
      <c r="BG21" s="508" t="s">
        <v>1294</v>
      </c>
      <c r="BH21" s="508" t="s">
        <v>1295</v>
      </c>
      <c r="BI21" s="508" t="s">
        <v>1296</v>
      </c>
      <c r="BJ21" s="510" t="s">
        <v>1297</v>
      </c>
      <c r="BK21" s="510" t="s">
        <v>1298</v>
      </c>
      <c r="BL21" s="510" t="s">
        <v>1299</v>
      </c>
      <c r="BM21" s="510" t="s">
        <v>1300</v>
      </c>
      <c r="BN21" s="510" t="s">
        <v>1301</v>
      </c>
      <c r="BO21" s="510" t="s">
        <v>1302</v>
      </c>
      <c r="BP21" s="508">
        <v>0.966</v>
      </c>
      <c r="BQ21" s="508" t="s">
        <v>1303</v>
      </c>
      <c r="BR21" s="526" t="s">
        <v>1304</v>
      </c>
    </row>
    <row r="22">
      <c r="A22" s="590"/>
      <c r="B22" s="514" t="s">
        <v>723</v>
      </c>
      <c r="C22" s="498">
        <v>0.917</v>
      </c>
      <c r="D22" s="498" t="s">
        <v>1305</v>
      </c>
      <c r="E22" s="498" t="s">
        <v>1306</v>
      </c>
      <c r="F22" s="498">
        <v>0.782</v>
      </c>
      <c r="G22" s="498" t="s">
        <v>1307</v>
      </c>
      <c r="H22" s="498" t="s">
        <v>1308</v>
      </c>
      <c r="I22" s="498">
        <v>0.741</v>
      </c>
      <c r="J22" s="498" t="s">
        <v>1309</v>
      </c>
      <c r="K22" s="498" t="s">
        <v>1310</v>
      </c>
      <c r="L22" s="498">
        <v>0.637</v>
      </c>
      <c r="M22" s="498" t="s">
        <v>1311</v>
      </c>
      <c r="N22" s="498" t="s">
        <v>1312</v>
      </c>
      <c r="O22" s="498">
        <v>0.906</v>
      </c>
      <c r="P22" s="498" t="s">
        <v>1313</v>
      </c>
      <c r="Q22" s="498" t="s">
        <v>1314</v>
      </c>
      <c r="R22" s="516">
        <v>0.728</v>
      </c>
      <c r="S22" s="516" t="s">
        <v>1315</v>
      </c>
      <c r="T22" s="516" t="s">
        <v>1316</v>
      </c>
      <c r="U22" s="596">
        <v>0.513</v>
      </c>
      <c r="V22" s="523" t="s">
        <v>1317</v>
      </c>
      <c r="W22" s="523">
        <v>0.098</v>
      </c>
      <c r="X22" s="523" t="s">
        <v>1318</v>
      </c>
      <c r="Y22" s="523">
        <v>0.457</v>
      </c>
      <c r="Z22" s="523" t="s">
        <v>1319</v>
      </c>
      <c r="AA22" s="519">
        <v>0.215</v>
      </c>
      <c r="AB22" s="519" t="s">
        <v>1320</v>
      </c>
      <c r="AC22" s="597">
        <v>0.489</v>
      </c>
      <c r="AD22" s="524" t="s">
        <v>1321</v>
      </c>
      <c r="AE22" s="522"/>
      <c r="AF22" s="72"/>
      <c r="AG22" s="72"/>
      <c r="AH22" s="72"/>
      <c r="AI22" s="72"/>
      <c r="AJ22" s="72"/>
      <c r="AK22" s="72"/>
      <c r="AL22" s="72"/>
      <c r="AM22" s="72"/>
      <c r="AN22" s="224"/>
      <c r="AO22" s="224"/>
      <c r="AP22" s="224"/>
      <c r="AQ22" s="224"/>
      <c r="AR22" s="224"/>
      <c r="AS22" s="224"/>
      <c r="AT22" s="224"/>
      <c r="AU22" s="522"/>
      <c r="AV22" s="72"/>
      <c r="AW22" s="72"/>
      <c r="AX22" s="72"/>
      <c r="AY22" s="72"/>
      <c r="AZ22" s="72"/>
      <c r="BA22" s="518"/>
      <c r="BB22" s="72"/>
      <c r="BC22" s="72"/>
      <c r="BD22" s="523"/>
      <c r="BE22" s="523"/>
      <c r="BF22" s="524"/>
      <c r="BG22" s="508"/>
      <c r="BH22" s="508"/>
      <c r="BI22" s="508"/>
      <c r="BJ22" s="510"/>
      <c r="BK22" s="510"/>
      <c r="BL22" s="510"/>
      <c r="BM22" s="510"/>
      <c r="BN22" s="510"/>
      <c r="BO22" s="510"/>
      <c r="BP22" s="508"/>
      <c r="BQ22" s="508"/>
      <c r="BR22" s="526"/>
    </row>
    <row r="23">
      <c r="A23" s="590"/>
      <c r="B23" s="514" t="s">
        <v>724</v>
      </c>
      <c r="C23" s="498">
        <v>0.903</v>
      </c>
      <c r="D23" s="498" t="s">
        <v>1322</v>
      </c>
      <c r="E23" s="498" t="s">
        <v>1323</v>
      </c>
      <c r="F23" s="498">
        <v>0.775</v>
      </c>
      <c r="G23" s="498" t="s">
        <v>1324</v>
      </c>
      <c r="H23" s="498" t="s">
        <v>1325</v>
      </c>
      <c r="I23" s="498">
        <v>0.741</v>
      </c>
      <c r="J23" s="498" t="s">
        <v>1326</v>
      </c>
      <c r="K23" s="498" t="s">
        <v>1327</v>
      </c>
      <c r="L23" s="498">
        <v>0.632</v>
      </c>
      <c r="M23" s="498" t="s">
        <v>1328</v>
      </c>
      <c r="N23" s="498" t="s">
        <v>1329</v>
      </c>
      <c r="O23" s="498">
        <v>0.921</v>
      </c>
      <c r="P23" s="498" t="s">
        <v>1330</v>
      </c>
      <c r="Q23" s="498" t="s">
        <v>1331</v>
      </c>
      <c r="R23" s="516">
        <v>0.762</v>
      </c>
      <c r="S23" s="516" t="s">
        <v>1332</v>
      </c>
      <c r="T23" s="516" t="s">
        <v>1234</v>
      </c>
      <c r="U23" s="596">
        <v>0.522</v>
      </c>
      <c r="V23" s="523" t="s">
        <v>1333</v>
      </c>
      <c r="W23" s="523">
        <v>0.105</v>
      </c>
      <c r="X23" s="523" t="s">
        <v>1334</v>
      </c>
      <c r="Y23" s="523">
        <v>0.424</v>
      </c>
      <c r="Z23" s="523" t="s">
        <v>1335</v>
      </c>
      <c r="AA23" s="519">
        <v>0.256</v>
      </c>
      <c r="AB23" s="519" t="s">
        <v>1336</v>
      </c>
      <c r="AC23" s="597">
        <v>0.458</v>
      </c>
      <c r="AD23" s="524" t="s">
        <v>1337</v>
      </c>
      <c r="AE23" s="522"/>
      <c r="AF23" s="72"/>
      <c r="AG23" s="72"/>
      <c r="AH23" s="72"/>
      <c r="AI23" s="72"/>
      <c r="AJ23" s="72"/>
      <c r="AK23" s="72"/>
      <c r="AL23" s="72"/>
      <c r="AM23" s="72"/>
      <c r="AN23" s="224"/>
      <c r="AO23" s="224"/>
      <c r="AP23" s="224"/>
      <c r="AQ23" s="224"/>
      <c r="AR23" s="224"/>
      <c r="AS23" s="224"/>
      <c r="AT23" s="224"/>
      <c r="AU23" s="522"/>
      <c r="AV23" s="72"/>
      <c r="AW23" s="72"/>
      <c r="AX23" s="72"/>
      <c r="AY23" s="72"/>
      <c r="AZ23" s="72"/>
      <c r="BA23" s="518"/>
      <c r="BB23" s="72"/>
      <c r="BC23" s="72"/>
      <c r="BD23" s="523"/>
      <c r="BE23" s="523"/>
      <c r="BF23" s="524"/>
      <c r="BG23" s="508"/>
      <c r="BH23" s="508"/>
      <c r="BI23" s="508"/>
      <c r="BJ23" s="510"/>
      <c r="BK23" s="510"/>
      <c r="BL23" s="510"/>
      <c r="BM23" s="510"/>
      <c r="BN23" s="510"/>
      <c r="BO23" s="510"/>
      <c r="BP23" s="508"/>
      <c r="BQ23" s="508"/>
      <c r="BR23" s="526"/>
    </row>
    <row r="24" hidden="1">
      <c r="A24" s="590"/>
      <c r="B24" s="514" t="s">
        <v>704</v>
      </c>
      <c r="C24" s="527">
        <v>0.85</v>
      </c>
      <c r="D24" s="72" t="s">
        <v>1338</v>
      </c>
      <c r="E24" s="527" t="s">
        <v>1339</v>
      </c>
      <c r="F24" s="72">
        <v>0.738</v>
      </c>
      <c r="G24" s="527" t="s">
        <v>1340</v>
      </c>
      <c r="H24" s="527" t="s">
        <v>1341</v>
      </c>
      <c r="I24" s="72">
        <v>0.737</v>
      </c>
      <c r="J24" s="72" t="s">
        <v>1342</v>
      </c>
      <c r="K24" s="72" t="s">
        <v>1343</v>
      </c>
      <c r="L24" s="72">
        <v>0.628</v>
      </c>
      <c r="M24" s="72" t="s">
        <v>1344</v>
      </c>
      <c r="N24" s="72" t="s">
        <v>1345</v>
      </c>
      <c r="O24" s="72">
        <v>0.899</v>
      </c>
      <c r="P24" s="72" t="s">
        <v>1346</v>
      </c>
      <c r="Q24" s="72" t="s">
        <v>1347</v>
      </c>
      <c r="R24" s="516"/>
      <c r="S24" s="516"/>
      <c r="T24" s="516"/>
      <c r="U24" s="517">
        <v>0.526</v>
      </c>
      <c r="V24" s="518" t="s">
        <v>1348</v>
      </c>
      <c r="W24" s="518">
        <v>0.116</v>
      </c>
      <c r="X24" s="518" t="s">
        <v>711</v>
      </c>
      <c r="Y24" s="518">
        <v>0.452</v>
      </c>
      <c r="Z24" s="518" t="s">
        <v>1349</v>
      </c>
      <c r="AA24" s="519"/>
      <c r="AB24" s="519"/>
      <c r="AC24" s="520">
        <v>0.398</v>
      </c>
      <c r="AD24" s="521" t="s">
        <v>1350</v>
      </c>
      <c r="AE24" s="522"/>
      <c r="AF24" s="72"/>
      <c r="AG24" s="72"/>
      <c r="AH24" s="72"/>
      <c r="AI24" s="72"/>
      <c r="AJ24" s="72"/>
      <c r="AK24" s="72"/>
      <c r="AL24" s="72"/>
      <c r="AM24" s="72"/>
      <c r="AN24" s="224"/>
      <c r="AO24" s="224"/>
      <c r="AP24" s="224"/>
      <c r="AQ24" s="224"/>
      <c r="AR24" s="224"/>
      <c r="AS24" s="224"/>
      <c r="AT24" s="224"/>
      <c r="AU24" s="522"/>
      <c r="AV24" s="72"/>
      <c r="AW24" s="72"/>
      <c r="AX24" s="72"/>
      <c r="AY24" s="72"/>
      <c r="AZ24" s="72"/>
      <c r="BA24" s="518"/>
      <c r="BB24" s="72"/>
      <c r="BC24" s="72"/>
      <c r="BD24" s="523"/>
      <c r="BE24" s="523" t="s">
        <v>692</v>
      </c>
      <c r="BF24" s="524"/>
      <c r="BG24" s="518"/>
      <c r="BH24" s="518"/>
      <c r="BI24" s="518"/>
      <c r="BJ24" s="72"/>
      <c r="BK24" s="72"/>
      <c r="BL24" s="72"/>
      <c r="BM24" s="72"/>
      <c r="BN24" s="72"/>
      <c r="BO24" s="72"/>
      <c r="BP24" s="518"/>
      <c r="BQ24" s="518"/>
      <c r="BR24" s="521"/>
    </row>
    <row r="25" hidden="1">
      <c r="A25" s="590"/>
      <c r="B25" s="514" t="s">
        <v>713</v>
      </c>
      <c r="C25" s="522">
        <v>0.87</v>
      </c>
      <c r="D25" s="527" t="s">
        <v>1351</v>
      </c>
      <c r="E25" s="527" t="s">
        <v>1352</v>
      </c>
      <c r="F25" s="72">
        <v>0.759</v>
      </c>
      <c r="G25" s="527" t="s">
        <v>1353</v>
      </c>
      <c r="H25" s="527" t="s">
        <v>1354</v>
      </c>
      <c r="I25" s="72">
        <v>0.733</v>
      </c>
      <c r="J25" s="72" t="s">
        <v>1355</v>
      </c>
      <c r="K25" s="72" t="s">
        <v>1356</v>
      </c>
      <c r="L25" s="72">
        <v>0.608</v>
      </c>
      <c r="M25" s="72" t="s">
        <v>1357</v>
      </c>
      <c r="N25" s="72" t="s">
        <v>1358</v>
      </c>
      <c r="O25" s="72">
        <v>0.841</v>
      </c>
      <c r="P25" s="72" t="s">
        <v>1359</v>
      </c>
      <c r="Q25" s="72" t="s">
        <v>1360</v>
      </c>
      <c r="R25" s="516"/>
      <c r="S25" s="516"/>
      <c r="T25" s="516"/>
      <c r="U25" s="517">
        <v>0.505</v>
      </c>
      <c r="V25" s="518" t="s">
        <v>1361</v>
      </c>
      <c r="W25" s="518">
        <v>0.107</v>
      </c>
      <c r="X25" s="518" t="s">
        <v>1362</v>
      </c>
      <c r="Y25" s="518">
        <v>0.417</v>
      </c>
      <c r="Z25" s="518" t="s">
        <v>1363</v>
      </c>
      <c r="AA25" s="519"/>
      <c r="AB25" s="519"/>
      <c r="AC25" s="520">
        <v>0.482</v>
      </c>
      <c r="AD25" s="521" t="s">
        <v>1364</v>
      </c>
      <c r="AE25" s="522"/>
      <c r="AF25" s="72"/>
      <c r="AG25" s="72"/>
      <c r="AH25" s="72"/>
      <c r="AI25" s="72"/>
      <c r="AJ25" s="72"/>
      <c r="AK25" s="72"/>
      <c r="AL25" s="72"/>
      <c r="AM25" s="72"/>
      <c r="AN25" s="224"/>
      <c r="AO25" s="224"/>
      <c r="AP25" s="224"/>
      <c r="AQ25" s="224"/>
      <c r="AR25" s="224"/>
      <c r="AS25" s="224"/>
      <c r="AT25" s="224"/>
      <c r="AU25" s="522"/>
      <c r="AV25" s="72"/>
      <c r="AW25" s="72"/>
      <c r="AX25" s="72"/>
      <c r="AY25" s="72"/>
      <c r="AZ25" s="72"/>
      <c r="BA25" s="518"/>
      <c r="BB25" s="72"/>
      <c r="BC25" s="72"/>
      <c r="BD25" s="523"/>
      <c r="BE25" s="523"/>
      <c r="BF25" s="524"/>
      <c r="BG25" s="518"/>
      <c r="BH25" s="518"/>
      <c r="BI25" s="518"/>
      <c r="BJ25" s="72"/>
      <c r="BK25" s="72"/>
      <c r="BL25" s="72"/>
      <c r="BM25" s="72"/>
      <c r="BN25" s="72"/>
      <c r="BO25" s="72"/>
      <c r="BP25" s="518"/>
      <c r="BQ25" s="518"/>
      <c r="BR25" s="521"/>
    </row>
    <row r="26" hidden="1">
      <c r="A26" s="590"/>
      <c r="B26" s="514" t="s">
        <v>720</v>
      </c>
      <c r="C26" s="522"/>
      <c r="D26" s="527"/>
      <c r="E26" s="527"/>
      <c r="F26" s="72"/>
      <c r="G26" s="527"/>
      <c r="H26" s="527"/>
      <c r="I26" s="72"/>
      <c r="J26" s="26"/>
      <c r="K26" s="26"/>
      <c r="L26" s="72"/>
      <c r="M26" s="72"/>
      <c r="N26" s="72"/>
      <c r="O26" s="72"/>
      <c r="P26" s="72"/>
      <c r="Q26" s="72"/>
      <c r="R26" s="516"/>
      <c r="S26" s="516"/>
      <c r="T26" s="516"/>
      <c r="U26" s="517"/>
      <c r="V26" s="518"/>
      <c r="W26" s="518"/>
      <c r="X26" s="518"/>
      <c r="Y26" s="518"/>
      <c r="Z26" s="518"/>
      <c r="AA26" s="519"/>
      <c r="AB26" s="519"/>
      <c r="AC26" s="520"/>
      <c r="AD26" s="521"/>
      <c r="AE26" s="522"/>
      <c r="AF26" s="72"/>
      <c r="AG26" s="72"/>
      <c r="AH26" s="72"/>
      <c r="AI26" s="72"/>
      <c r="AJ26" s="72"/>
      <c r="AK26" s="72"/>
      <c r="AL26" s="72"/>
      <c r="AM26" s="72"/>
      <c r="AN26" s="224"/>
      <c r="AO26" s="224"/>
      <c r="AP26" s="224"/>
      <c r="AQ26" s="224"/>
      <c r="AR26" s="224"/>
      <c r="AS26" s="224"/>
      <c r="AT26" s="224"/>
      <c r="AU26" s="522"/>
      <c r="AV26" s="72"/>
      <c r="AW26" s="72"/>
      <c r="AX26" s="72"/>
      <c r="AY26" s="72"/>
      <c r="AZ26" s="72"/>
      <c r="BA26" s="518"/>
      <c r="BB26" s="72"/>
      <c r="BC26" s="72"/>
      <c r="BD26" s="523"/>
      <c r="BE26" s="523"/>
      <c r="BF26" s="524"/>
      <c r="BG26" s="518"/>
      <c r="BH26" s="518"/>
      <c r="BI26" s="518"/>
      <c r="BJ26" s="72"/>
      <c r="BK26" s="72"/>
      <c r="BL26" s="72"/>
      <c r="BM26" s="72"/>
      <c r="BN26" s="72"/>
      <c r="BO26" s="72"/>
      <c r="BP26" s="518"/>
      <c r="BQ26" s="518"/>
      <c r="BR26" s="521"/>
    </row>
    <row r="27">
      <c r="A27" s="590"/>
      <c r="B27" s="514" t="s">
        <v>540</v>
      </c>
      <c r="C27" s="522">
        <v>0.855</v>
      </c>
      <c r="D27" s="72" t="s">
        <v>1365</v>
      </c>
      <c r="E27" s="72" t="s">
        <v>1366</v>
      </c>
      <c r="F27" s="72">
        <v>0.266</v>
      </c>
      <c r="G27" s="72" t="s">
        <v>1367</v>
      </c>
      <c r="H27" s="72" t="s">
        <v>1368</v>
      </c>
      <c r="I27" s="72">
        <v>0.8</v>
      </c>
      <c r="J27" s="72" t="s">
        <v>1369</v>
      </c>
      <c r="K27" s="72" t="s">
        <v>1370</v>
      </c>
      <c r="L27" s="72">
        <v>0.654</v>
      </c>
      <c r="M27" s="72" t="s">
        <v>1371</v>
      </c>
      <c r="N27" s="72" t="s">
        <v>1372</v>
      </c>
      <c r="O27" s="72">
        <v>0.784</v>
      </c>
      <c r="P27" s="72" t="s">
        <v>1373</v>
      </c>
      <c r="Q27" s="72" t="s">
        <v>1374</v>
      </c>
      <c r="R27" s="598">
        <v>0.868</v>
      </c>
      <c r="S27" s="516" t="s">
        <v>1375</v>
      </c>
      <c r="T27" s="516" t="s">
        <v>1376</v>
      </c>
      <c r="U27" s="517">
        <v>0.418</v>
      </c>
      <c r="V27" s="518" t="s">
        <v>1377</v>
      </c>
      <c r="W27" s="518">
        <v>0.086</v>
      </c>
      <c r="X27" s="72" t="s">
        <v>1378</v>
      </c>
      <c r="Y27" s="518">
        <v>0.534</v>
      </c>
      <c r="Z27" s="518" t="s">
        <v>1379</v>
      </c>
      <c r="AA27" s="519">
        <v>0.255</v>
      </c>
      <c r="AB27" s="519" t="s">
        <v>1380</v>
      </c>
      <c r="AC27" s="520">
        <v>0.263</v>
      </c>
      <c r="AD27" s="521" t="s">
        <v>1381</v>
      </c>
      <c r="AE27" s="522"/>
      <c r="AF27" s="72" t="s">
        <v>1382</v>
      </c>
      <c r="AG27" s="72"/>
      <c r="AH27" s="72" t="s">
        <v>1383</v>
      </c>
      <c r="AI27" s="72"/>
      <c r="AJ27" s="72" t="s">
        <v>1384</v>
      </c>
      <c r="AK27" s="72"/>
      <c r="AL27" s="72" t="s">
        <v>1385</v>
      </c>
      <c r="AM27" s="72"/>
      <c r="AN27" s="146" t="s">
        <v>1386</v>
      </c>
      <c r="AO27" s="72"/>
      <c r="AP27" s="72"/>
      <c r="AQ27" s="72"/>
      <c r="AR27" s="72"/>
      <c r="AS27" s="72"/>
      <c r="AT27" s="72"/>
      <c r="AU27" s="522"/>
      <c r="AV27" s="72" t="s">
        <v>1387</v>
      </c>
      <c r="AW27" s="72" t="s">
        <v>1388</v>
      </c>
      <c r="AX27" s="72"/>
      <c r="AY27" s="72" t="s">
        <v>1086</v>
      </c>
      <c r="AZ27" s="72" t="s">
        <v>1389</v>
      </c>
      <c r="BA27" s="518"/>
      <c r="BB27" s="72" t="s">
        <v>1390</v>
      </c>
      <c r="BC27" s="72" t="s">
        <v>1391</v>
      </c>
      <c r="BD27" s="523">
        <v>0.986</v>
      </c>
      <c r="BE27" s="523" t="s">
        <v>1392</v>
      </c>
      <c r="BF27" s="524" t="s">
        <v>1393</v>
      </c>
      <c r="BG27" s="508" t="s">
        <v>1394</v>
      </c>
      <c r="BH27" s="508" t="s">
        <v>1395</v>
      </c>
      <c r="BI27" s="508" t="s">
        <v>1396</v>
      </c>
      <c r="BJ27" s="510" t="s">
        <v>1397</v>
      </c>
      <c r="BK27" s="510" t="s">
        <v>1398</v>
      </c>
      <c r="BL27" s="510" t="s">
        <v>1399</v>
      </c>
      <c r="BM27" s="510" t="s">
        <v>1400</v>
      </c>
      <c r="BN27" s="510" t="s">
        <v>1401</v>
      </c>
      <c r="BO27" s="510" t="s">
        <v>1402</v>
      </c>
      <c r="BP27" s="508">
        <v>0.957</v>
      </c>
      <c r="BQ27" s="508" t="s">
        <v>1403</v>
      </c>
      <c r="BR27" s="526" t="s">
        <v>1404</v>
      </c>
    </row>
    <row r="28">
      <c r="A28" s="590"/>
      <c r="B28" s="514" t="s">
        <v>567</v>
      </c>
      <c r="C28" s="522">
        <v>0.823</v>
      </c>
      <c r="D28" s="72" t="s">
        <v>1405</v>
      </c>
      <c r="E28" s="72" t="s">
        <v>1406</v>
      </c>
      <c r="F28" s="72">
        <v>0.33</v>
      </c>
      <c r="G28" s="72" t="s">
        <v>1407</v>
      </c>
      <c r="H28" s="72" t="s">
        <v>1408</v>
      </c>
      <c r="I28" s="72">
        <v>0.758</v>
      </c>
      <c r="J28" s="72" t="s">
        <v>1409</v>
      </c>
      <c r="K28" s="72" t="s">
        <v>1410</v>
      </c>
      <c r="L28" s="72">
        <v>0.639</v>
      </c>
      <c r="M28" s="72" t="s">
        <v>1411</v>
      </c>
      <c r="N28" s="72" t="s">
        <v>1412</v>
      </c>
      <c r="O28" s="72">
        <v>0.863</v>
      </c>
      <c r="P28" s="72" t="s">
        <v>1413</v>
      </c>
      <c r="Q28" s="72" t="s">
        <v>1414</v>
      </c>
      <c r="R28" s="599">
        <v>0.74</v>
      </c>
      <c r="S28" s="516" t="s">
        <v>1415</v>
      </c>
      <c r="T28" s="516" t="s">
        <v>1416</v>
      </c>
      <c r="U28" s="517">
        <v>0.428</v>
      </c>
      <c r="V28" s="518" t="s">
        <v>1417</v>
      </c>
      <c r="W28" s="518">
        <v>0.087</v>
      </c>
      <c r="X28" s="518" t="s">
        <v>1418</v>
      </c>
      <c r="Y28" s="518">
        <v>0.571</v>
      </c>
      <c r="Z28" s="518" t="s">
        <v>1419</v>
      </c>
      <c r="AA28" s="519">
        <v>0.081</v>
      </c>
      <c r="AB28" s="519" t="s">
        <v>1420</v>
      </c>
      <c r="AC28" s="520">
        <v>0.389</v>
      </c>
      <c r="AD28" s="521" t="s">
        <v>1421</v>
      </c>
      <c r="AE28" s="522"/>
      <c r="AF28" s="498" t="s">
        <v>1422</v>
      </c>
      <c r="AG28" s="498"/>
      <c r="AH28" s="498" t="s">
        <v>1423</v>
      </c>
      <c r="AI28" s="498"/>
      <c r="AJ28" s="498" t="s">
        <v>1424</v>
      </c>
      <c r="AK28" s="498"/>
      <c r="AL28" s="1" t="s">
        <v>1425</v>
      </c>
      <c r="AM28" s="498"/>
      <c r="AN28" s="544" t="s">
        <v>1426</v>
      </c>
      <c r="AO28" s="72"/>
      <c r="AP28" s="72"/>
      <c r="AQ28" s="72"/>
      <c r="AR28" s="72"/>
      <c r="AS28" s="72"/>
      <c r="AT28" s="72"/>
      <c r="AU28" s="522">
        <v>0.742</v>
      </c>
      <c r="AV28" s="72" t="s">
        <v>1427</v>
      </c>
      <c r="AW28" s="72" t="s">
        <v>1428</v>
      </c>
      <c r="AX28" s="72">
        <v>0.841</v>
      </c>
      <c r="AY28" s="72" t="s">
        <v>1429</v>
      </c>
      <c r="AZ28" s="72" t="s">
        <v>1430</v>
      </c>
      <c r="BA28" s="518"/>
      <c r="BB28" s="72" t="s">
        <v>1431</v>
      </c>
      <c r="BC28" s="72" t="s">
        <v>1432</v>
      </c>
      <c r="BD28" s="523">
        <v>0.97</v>
      </c>
      <c r="BE28" s="523" t="s">
        <v>1433</v>
      </c>
      <c r="BF28" s="524" t="s">
        <v>1434</v>
      </c>
      <c r="BG28" s="518" t="s">
        <v>1435</v>
      </c>
      <c r="BH28" s="518" t="s">
        <v>1436</v>
      </c>
      <c r="BI28" s="518" t="s">
        <v>1437</v>
      </c>
      <c r="BJ28" s="72" t="s">
        <v>1438</v>
      </c>
      <c r="BK28" s="72" t="s">
        <v>1439</v>
      </c>
      <c r="BL28" s="72" t="s">
        <v>1440</v>
      </c>
      <c r="BM28" s="72" t="s">
        <v>1441</v>
      </c>
      <c r="BN28" s="72" t="s">
        <v>1442</v>
      </c>
      <c r="BO28" s="72" t="s">
        <v>1443</v>
      </c>
      <c r="BP28" s="518">
        <v>0.914</v>
      </c>
      <c r="BQ28" s="518" t="s">
        <v>1444</v>
      </c>
      <c r="BR28" s="521" t="s">
        <v>1445</v>
      </c>
    </row>
    <row r="29">
      <c r="A29" s="590"/>
      <c r="B29" s="514" t="s">
        <v>598</v>
      </c>
      <c r="C29" s="522">
        <v>0.873</v>
      </c>
      <c r="D29" s="72" t="s">
        <v>1446</v>
      </c>
      <c r="E29" s="72" t="s">
        <v>1447</v>
      </c>
      <c r="F29" s="72">
        <v>0.326</v>
      </c>
      <c r="G29" s="72" t="s">
        <v>1448</v>
      </c>
      <c r="H29" s="72" t="s">
        <v>1449</v>
      </c>
      <c r="I29" s="72">
        <v>0.791</v>
      </c>
      <c r="J29" s="72" t="s">
        <v>1450</v>
      </c>
      <c r="K29" s="72" t="s">
        <v>1451</v>
      </c>
      <c r="L29" s="72">
        <v>0.655</v>
      </c>
      <c r="M29" s="72" t="s">
        <v>1452</v>
      </c>
      <c r="N29" s="72" t="s">
        <v>1453</v>
      </c>
      <c r="O29" s="72">
        <v>0.755</v>
      </c>
      <c r="P29" s="72" t="s">
        <v>1454</v>
      </c>
      <c r="Q29" s="72" t="s">
        <v>1455</v>
      </c>
      <c r="R29" s="519">
        <v>0.853</v>
      </c>
      <c r="S29" s="516" t="s">
        <v>1456</v>
      </c>
      <c r="T29" s="516" t="s">
        <v>1457</v>
      </c>
      <c r="U29" s="517">
        <v>0.475</v>
      </c>
      <c r="V29" s="518" t="s">
        <v>1458</v>
      </c>
      <c r="W29" s="518">
        <v>0.103</v>
      </c>
      <c r="X29" s="518" t="s">
        <v>1459</v>
      </c>
      <c r="Y29" s="518">
        <v>0.569</v>
      </c>
      <c r="Z29" s="518" t="s">
        <v>1460</v>
      </c>
      <c r="AA29" s="519">
        <v>0.155</v>
      </c>
      <c r="AB29" s="519" t="s">
        <v>1461</v>
      </c>
      <c r="AC29" s="520">
        <v>0.275</v>
      </c>
      <c r="AD29" s="521" t="s">
        <v>1462</v>
      </c>
      <c r="AE29" s="522"/>
      <c r="AF29" s="72" t="s">
        <v>1463</v>
      </c>
      <c r="AG29" s="72"/>
      <c r="AH29" s="72" t="s">
        <v>870</v>
      </c>
      <c r="AI29" s="72"/>
      <c r="AJ29" s="72" t="s">
        <v>871</v>
      </c>
      <c r="AK29" s="72"/>
      <c r="AL29" s="72" t="s">
        <v>872</v>
      </c>
      <c r="AM29" s="72"/>
      <c r="AN29" s="142" t="s">
        <v>873</v>
      </c>
      <c r="AO29" s="224"/>
      <c r="AP29" s="224"/>
      <c r="AQ29" s="224"/>
      <c r="AR29" s="224"/>
      <c r="AS29" s="224"/>
      <c r="AT29" s="224"/>
      <c r="AU29" s="522">
        <v>0.792</v>
      </c>
      <c r="AV29" s="72" t="s">
        <v>1464</v>
      </c>
      <c r="AW29" s="72" t="s">
        <v>1465</v>
      </c>
      <c r="AX29" s="72">
        <v>0.815</v>
      </c>
      <c r="AY29" s="72" t="s">
        <v>1466</v>
      </c>
      <c r="AZ29" s="72" t="s">
        <v>1467</v>
      </c>
      <c r="BA29" s="518"/>
      <c r="BB29" s="72" t="s">
        <v>1468</v>
      </c>
      <c r="BC29" s="72" t="s">
        <v>1469</v>
      </c>
      <c r="BD29" s="523">
        <v>0.984</v>
      </c>
      <c r="BE29" s="523" t="s">
        <v>1470</v>
      </c>
      <c r="BF29" s="524" t="s">
        <v>1471</v>
      </c>
      <c r="BG29" s="518" t="s">
        <v>1472</v>
      </c>
      <c r="BH29" s="518" t="s">
        <v>1473</v>
      </c>
      <c r="BI29" s="518" t="s">
        <v>1474</v>
      </c>
      <c r="BJ29" s="72" t="s">
        <v>1475</v>
      </c>
      <c r="BK29" s="72" t="s">
        <v>1476</v>
      </c>
      <c r="BL29" s="72" t="s">
        <v>1477</v>
      </c>
      <c r="BM29" s="72" t="s">
        <v>1478</v>
      </c>
      <c r="BN29" s="72" t="s">
        <v>1479</v>
      </c>
      <c r="BO29" s="72" t="s">
        <v>1480</v>
      </c>
      <c r="BP29" s="518">
        <v>0.929</v>
      </c>
      <c r="BQ29" s="518" t="s">
        <v>1481</v>
      </c>
      <c r="BR29" s="521" t="s">
        <v>1482</v>
      </c>
    </row>
    <row r="30">
      <c r="A30" s="590"/>
      <c r="B30" s="514" t="s">
        <v>725</v>
      </c>
      <c r="C30" s="600">
        <v>0.935</v>
      </c>
      <c r="D30" s="510" t="s">
        <v>1483</v>
      </c>
      <c r="E30" s="510" t="s">
        <v>1484</v>
      </c>
      <c r="F30" s="601">
        <v>0.798</v>
      </c>
      <c r="G30" s="510" t="s">
        <v>1485</v>
      </c>
      <c r="H30" s="510" t="s">
        <v>1486</v>
      </c>
      <c r="I30" s="552">
        <v>0.775</v>
      </c>
      <c r="J30" s="510" t="s">
        <v>1487</v>
      </c>
      <c r="K30" s="510" t="s">
        <v>1488</v>
      </c>
      <c r="L30" s="602">
        <v>0.696</v>
      </c>
      <c r="M30" s="510" t="s">
        <v>1489</v>
      </c>
      <c r="N30" s="510" t="s">
        <v>1490</v>
      </c>
      <c r="O30" s="603">
        <v>0.942</v>
      </c>
      <c r="P30" s="510" t="s">
        <v>1491</v>
      </c>
      <c r="Q30" s="510" t="s">
        <v>1492</v>
      </c>
      <c r="R30" s="516">
        <v>0.897</v>
      </c>
      <c r="S30" s="516" t="s">
        <v>1493</v>
      </c>
      <c r="T30" s="516" t="s">
        <v>1494</v>
      </c>
      <c r="U30" s="604">
        <v>0.555</v>
      </c>
      <c r="V30" s="508" t="s">
        <v>1495</v>
      </c>
      <c r="W30" s="508">
        <v>0.109</v>
      </c>
      <c r="X30" s="508" t="s">
        <v>1496</v>
      </c>
      <c r="Y30" s="605">
        <v>0.536</v>
      </c>
      <c r="Z30" s="508" t="s">
        <v>1497</v>
      </c>
      <c r="AA30" s="519">
        <v>0.303</v>
      </c>
      <c r="AB30" s="519" t="s">
        <v>1498</v>
      </c>
      <c r="AC30" s="606">
        <v>0.448</v>
      </c>
      <c r="AD30" s="526" t="s">
        <v>1499</v>
      </c>
      <c r="AE30" s="522"/>
      <c r="AF30" s="72" t="s">
        <v>1500</v>
      </c>
      <c r="AG30" s="72"/>
      <c r="AH30" s="72" t="s">
        <v>1501</v>
      </c>
      <c r="AI30" s="72"/>
      <c r="AJ30" s="72" t="s">
        <v>1502</v>
      </c>
      <c r="AK30" s="72"/>
      <c r="AL30" s="531" t="s">
        <v>1503</v>
      </c>
      <c r="AM30" s="72"/>
      <c r="AN30" s="142" t="s">
        <v>1504</v>
      </c>
      <c r="AO30" s="224"/>
      <c r="AP30" s="224"/>
      <c r="AQ30" s="224"/>
      <c r="AR30" s="224"/>
      <c r="AS30" s="224"/>
      <c r="AT30" s="224"/>
      <c r="AU30" s="607">
        <v>0.839</v>
      </c>
      <c r="AV30" s="510" t="s">
        <v>1505</v>
      </c>
      <c r="AW30" s="510" t="s">
        <v>1506</v>
      </c>
      <c r="AX30" s="510">
        <v>0.892</v>
      </c>
      <c r="AY30" s="510" t="s">
        <v>1507</v>
      </c>
      <c r="AZ30" s="510" t="s">
        <v>1508</v>
      </c>
      <c r="BA30" s="508">
        <v>0.998</v>
      </c>
      <c r="BB30" s="510" t="s">
        <v>1509</v>
      </c>
      <c r="BC30" s="510" t="s">
        <v>1510</v>
      </c>
      <c r="BD30" s="523">
        <v>0.954</v>
      </c>
      <c r="BE30" s="523" t="s">
        <v>1511</v>
      </c>
      <c r="BF30" s="524" t="s">
        <v>1512</v>
      </c>
      <c r="BG30" s="508" t="s">
        <v>1513</v>
      </c>
      <c r="BH30" s="508" t="s">
        <v>1514</v>
      </c>
      <c r="BI30" s="508" t="s">
        <v>1515</v>
      </c>
      <c r="BJ30" s="510" t="s">
        <v>1516</v>
      </c>
      <c r="BK30" s="510" t="s">
        <v>1517</v>
      </c>
      <c r="BL30" s="510" t="s">
        <v>1518</v>
      </c>
      <c r="BM30" s="510" t="s">
        <v>1519</v>
      </c>
      <c r="BN30" s="510" t="s">
        <v>1520</v>
      </c>
      <c r="BO30" s="510" t="s">
        <v>1521</v>
      </c>
      <c r="BP30" s="508">
        <v>0.972</v>
      </c>
      <c r="BQ30" s="508" t="s">
        <v>1522</v>
      </c>
      <c r="BR30" s="526" t="s">
        <v>1523</v>
      </c>
    </row>
    <row r="31">
      <c r="A31" s="590"/>
      <c r="B31" s="142" t="s">
        <v>726</v>
      </c>
      <c r="C31" s="510">
        <v>0.914</v>
      </c>
      <c r="D31" s="510" t="s">
        <v>1524</v>
      </c>
      <c r="E31" s="510" t="s">
        <v>1525</v>
      </c>
      <c r="F31" s="510">
        <v>0.789</v>
      </c>
      <c r="G31" s="510" t="s">
        <v>1526</v>
      </c>
      <c r="H31" s="510" t="s">
        <v>1527</v>
      </c>
      <c r="I31" s="608">
        <v>0.789</v>
      </c>
      <c r="J31" s="510" t="s">
        <v>1528</v>
      </c>
      <c r="K31" s="510" t="s">
        <v>1529</v>
      </c>
      <c r="L31" s="609">
        <v>0.681</v>
      </c>
      <c r="M31" s="510" t="s">
        <v>1530</v>
      </c>
      <c r="N31" s="510" t="s">
        <v>1531</v>
      </c>
      <c r="O31" s="610">
        <v>0.906</v>
      </c>
      <c r="P31" s="510" t="s">
        <v>1532</v>
      </c>
      <c r="Q31" s="510" t="s">
        <v>1533</v>
      </c>
      <c r="R31" s="516">
        <v>0.912</v>
      </c>
      <c r="S31" s="516" t="s">
        <v>1534</v>
      </c>
      <c r="T31" s="516" t="s">
        <v>1535</v>
      </c>
      <c r="U31" s="611">
        <v>0.566</v>
      </c>
      <c r="V31" s="535" t="s">
        <v>1536</v>
      </c>
      <c r="W31" s="612">
        <v>0.118</v>
      </c>
      <c r="X31" s="508" t="s">
        <v>1537</v>
      </c>
      <c r="Y31" s="508">
        <v>0.527</v>
      </c>
      <c r="Z31" s="508" t="s">
        <v>1538</v>
      </c>
      <c r="AA31" s="613">
        <v>0.366</v>
      </c>
      <c r="AB31" s="613" t="s">
        <v>1539</v>
      </c>
      <c r="AC31" s="614">
        <v>0.465</v>
      </c>
      <c r="AD31" s="526" t="s">
        <v>1540</v>
      </c>
      <c r="AE31" s="522"/>
      <c r="AF31" s="72" t="s">
        <v>1541</v>
      </c>
      <c r="AG31" s="72"/>
      <c r="AH31" s="72" t="s">
        <v>1542</v>
      </c>
      <c r="AI31" s="72"/>
      <c r="AJ31" s="72" t="s">
        <v>1543</v>
      </c>
      <c r="AK31" s="72"/>
      <c r="AL31" s="72" t="s">
        <v>1544</v>
      </c>
      <c r="AM31" s="72"/>
      <c r="AN31" s="615" t="s">
        <v>1545</v>
      </c>
      <c r="AO31" s="484"/>
      <c r="AP31" s="484"/>
      <c r="AQ31" s="484"/>
      <c r="AR31" s="484"/>
      <c r="AS31" s="484"/>
      <c r="AT31" s="484"/>
      <c r="AU31" s="607">
        <v>0.834</v>
      </c>
      <c r="AV31" s="510" t="s">
        <v>1546</v>
      </c>
      <c r="AW31" s="510" t="s">
        <v>1547</v>
      </c>
      <c r="AX31" s="510">
        <v>0.894</v>
      </c>
      <c r="AY31" s="510" t="s">
        <v>1548</v>
      </c>
      <c r="AZ31" s="510" t="s">
        <v>1549</v>
      </c>
      <c r="BA31" s="508">
        <v>0.998</v>
      </c>
      <c r="BB31" s="510" t="s">
        <v>1550</v>
      </c>
      <c r="BC31" s="510" t="s">
        <v>1551</v>
      </c>
      <c r="BD31" s="523">
        <v>0.944</v>
      </c>
      <c r="BE31" s="523" t="s">
        <v>1552</v>
      </c>
      <c r="BF31" s="524" t="s">
        <v>1553</v>
      </c>
      <c r="BG31" s="508" t="s">
        <v>1554</v>
      </c>
      <c r="BH31" s="535" t="s">
        <v>1555</v>
      </c>
      <c r="BI31" s="508" t="s">
        <v>1556</v>
      </c>
      <c r="BJ31" s="510" t="s">
        <v>1557</v>
      </c>
      <c r="BK31" s="510" t="s">
        <v>1558</v>
      </c>
      <c r="BL31" s="510" t="s">
        <v>1559</v>
      </c>
      <c r="BM31" s="510" t="s">
        <v>1560</v>
      </c>
      <c r="BN31" s="538" t="s">
        <v>1561</v>
      </c>
      <c r="BO31" s="510" t="s">
        <v>1562</v>
      </c>
      <c r="BP31" s="508">
        <v>0.977</v>
      </c>
      <c r="BQ31" s="508" t="s">
        <v>1563</v>
      </c>
      <c r="BR31" s="526" t="s">
        <v>1564</v>
      </c>
    </row>
    <row r="32">
      <c r="A32" s="590"/>
      <c r="B32" s="142" t="s">
        <v>727</v>
      </c>
      <c r="C32" s="534">
        <v>0.903</v>
      </c>
      <c r="D32" s="538" t="s">
        <v>1565</v>
      </c>
      <c r="E32" s="538" t="s">
        <v>1566</v>
      </c>
      <c r="F32" s="603">
        <v>0.818</v>
      </c>
      <c r="G32" s="538" t="s">
        <v>1567</v>
      </c>
      <c r="H32" s="538" t="s">
        <v>1568</v>
      </c>
      <c r="I32" s="616">
        <v>0.754</v>
      </c>
      <c r="J32" s="510" t="s">
        <v>1569</v>
      </c>
      <c r="K32" s="510" t="s">
        <v>1570</v>
      </c>
      <c r="L32" s="617">
        <v>0.657</v>
      </c>
      <c r="M32" s="510" t="s">
        <v>1571</v>
      </c>
      <c r="N32" s="510" t="s">
        <v>1572</v>
      </c>
      <c r="O32" s="618">
        <v>0.871</v>
      </c>
      <c r="P32" s="510" t="s">
        <v>1573</v>
      </c>
      <c r="Q32" s="510" t="s">
        <v>1574</v>
      </c>
      <c r="R32" s="619">
        <v>0.778</v>
      </c>
      <c r="S32" s="516" t="s">
        <v>1575</v>
      </c>
      <c r="T32" s="553" t="s">
        <v>1576</v>
      </c>
      <c r="U32" s="620">
        <v>0.516</v>
      </c>
      <c r="V32" s="508" t="s">
        <v>1577</v>
      </c>
      <c r="W32" s="621">
        <v>0.099</v>
      </c>
      <c r="X32" s="508" t="s">
        <v>1578</v>
      </c>
      <c r="Y32" s="622">
        <v>0.546</v>
      </c>
      <c r="Z32" s="508" t="s">
        <v>1579</v>
      </c>
      <c r="AA32" s="519">
        <v>0.19</v>
      </c>
      <c r="AB32" s="519" t="s">
        <v>1580</v>
      </c>
      <c r="AC32" s="508">
        <v>0.415</v>
      </c>
      <c r="AD32" s="526" t="s">
        <v>1581</v>
      </c>
      <c r="AE32" s="522"/>
      <c r="AF32" s="498" t="s">
        <v>1582</v>
      </c>
      <c r="AG32" s="498"/>
      <c r="AH32" s="498" t="s">
        <v>1583</v>
      </c>
      <c r="AI32" s="498"/>
      <c r="AJ32" s="498" t="s">
        <v>1584</v>
      </c>
      <c r="AK32" s="498"/>
      <c r="AL32" s="498" t="s">
        <v>1585</v>
      </c>
      <c r="AM32" s="498"/>
      <c r="AN32" s="623" t="s">
        <v>1586</v>
      </c>
      <c r="AO32" s="224"/>
      <c r="AP32" s="224"/>
      <c r="AQ32" s="224"/>
      <c r="AR32" s="224"/>
      <c r="AS32" s="224"/>
      <c r="AT32" s="224"/>
      <c r="AU32" s="607">
        <v>0.923</v>
      </c>
      <c r="AV32" s="510" t="s">
        <v>1587</v>
      </c>
      <c r="AW32" s="510" t="s">
        <v>1588</v>
      </c>
      <c r="AX32" s="510">
        <v>0.943</v>
      </c>
      <c r="AY32" s="510" t="s">
        <v>1589</v>
      </c>
      <c r="AZ32" s="510" t="s">
        <v>1590</v>
      </c>
      <c r="BA32" s="508">
        <v>0.998</v>
      </c>
      <c r="BB32" s="510" t="s">
        <v>1591</v>
      </c>
      <c r="BC32" s="510" t="s">
        <v>1592</v>
      </c>
      <c r="BD32" s="523">
        <v>0.995</v>
      </c>
      <c r="BE32" s="523" t="s">
        <v>1593</v>
      </c>
      <c r="BF32" s="524" t="s">
        <v>1594</v>
      </c>
      <c r="BG32" s="508" t="s">
        <v>1595</v>
      </c>
      <c r="BH32" s="508" t="s">
        <v>1596</v>
      </c>
      <c r="BI32" s="508" t="s">
        <v>1597</v>
      </c>
      <c r="BJ32" s="510" t="s">
        <v>1598</v>
      </c>
      <c r="BK32" s="510" t="s">
        <v>1599</v>
      </c>
      <c r="BL32" s="510" t="s">
        <v>1600</v>
      </c>
      <c r="BM32" s="510" t="s">
        <v>1601</v>
      </c>
      <c r="BN32" s="510" t="s">
        <v>1602</v>
      </c>
      <c r="BO32" s="510" t="s">
        <v>1603</v>
      </c>
      <c r="BP32" s="508">
        <v>0.98</v>
      </c>
      <c r="BQ32" s="508" t="s">
        <v>1604</v>
      </c>
      <c r="BR32" s="526" t="s">
        <v>1605</v>
      </c>
    </row>
    <row r="33">
      <c r="A33" s="624"/>
      <c r="B33" s="561" t="s">
        <v>728</v>
      </c>
      <c r="C33" s="625">
        <v>0.885</v>
      </c>
      <c r="D33" s="510" t="s">
        <v>1606</v>
      </c>
      <c r="E33" s="577" t="s">
        <v>1607</v>
      </c>
      <c r="F33" s="626">
        <v>0.755</v>
      </c>
      <c r="G33" s="577" t="s">
        <v>1608</v>
      </c>
      <c r="H33" s="577" t="s">
        <v>1609</v>
      </c>
      <c r="I33" s="627">
        <v>0.754</v>
      </c>
      <c r="J33" s="577" t="s">
        <v>1610</v>
      </c>
      <c r="K33" s="577" t="s">
        <v>1611</v>
      </c>
      <c r="L33" s="628">
        <v>0.65</v>
      </c>
      <c r="M33" s="577" t="s">
        <v>1612</v>
      </c>
      <c r="N33" s="577" t="s">
        <v>1613</v>
      </c>
      <c r="O33" s="629">
        <v>0.863</v>
      </c>
      <c r="P33" s="577" t="s">
        <v>1614</v>
      </c>
      <c r="Q33" s="577" t="s">
        <v>1615</v>
      </c>
      <c r="R33" s="566">
        <v>0.818</v>
      </c>
      <c r="S33" s="566" t="s">
        <v>1616</v>
      </c>
      <c r="T33" s="566" t="s">
        <v>1617</v>
      </c>
      <c r="U33" s="630">
        <v>0.528</v>
      </c>
      <c r="V33" s="576" t="s">
        <v>1618</v>
      </c>
      <c r="W33" s="631">
        <v>0.099</v>
      </c>
      <c r="X33" s="576" t="s">
        <v>1619</v>
      </c>
      <c r="Y33" s="632">
        <v>0.536</v>
      </c>
      <c r="Z33" s="576" t="s">
        <v>1620</v>
      </c>
      <c r="AA33" s="570">
        <v>0.17</v>
      </c>
      <c r="AB33" s="570" t="s">
        <v>1621</v>
      </c>
      <c r="AC33" s="633">
        <v>0.445</v>
      </c>
      <c r="AD33" s="579" t="s">
        <v>1622</v>
      </c>
      <c r="AE33" s="562"/>
      <c r="AF33" s="634" t="s">
        <v>1623</v>
      </c>
      <c r="AG33" s="634"/>
      <c r="AH33" s="634" t="s">
        <v>1624</v>
      </c>
      <c r="AI33" s="634"/>
      <c r="AJ33" s="634" t="s">
        <v>1625</v>
      </c>
      <c r="AK33" s="634"/>
      <c r="AL33" s="634" t="s">
        <v>1626</v>
      </c>
      <c r="AM33" s="634"/>
      <c r="AN33" s="635" t="s">
        <v>1627</v>
      </c>
      <c r="AO33" s="492"/>
      <c r="AP33" s="492"/>
      <c r="AQ33" s="492"/>
      <c r="AR33" s="492"/>
      <c r="AS33" s="492"/>
      <c r="AT33" s="492"/>
      <c r="AU33" s="625">
        <v>0.883</v>
      </c>
      <c r="AV33" s="577" t="s">
        <v>1628</v>
      </c>
      <c r="AW33" s="577" t="s">
        <v>1629</v>
      </c>
      <c r="AX33" s="577">
        <v>0.879</v>
      </c>
      <c r="AY33" s="577" t="s">
        <v>1630</v>
      </c>
      <c r="AZ33" s="577" t="s">
        <v>1631</v>
      </c>
      <c r="BA33" s="576">
        <v>0.996</v>
      </c>
      <c r="BB33" s="577" t="s">
        <v>1632</v>
      </c>
      <c r="BC33" s="577" t="s">
        <v>1633</v>
      </c>
      <c r="BD33" s="574">
        <v>0.991</v>
      </c>
      <c r="BE33" s="574" t="s">
        <v>1634</v>
      </c>
      <c r="BF33" s="575" t="s">
        <v>1635</v>
      </c>
      <c r="BG33" s="576" t="s">
        <v>1636</v>
      </c>
      <c r="BH33" s="576" t="s">
        <v>1637</v>
      </c>
      <c r="BI33" s="576" t="s">
        <v>1638</v>
      </c>
      <c r="BJ33" s="577" t="s">
        <v>1639</v>
      </c>
      <c r="BK33" s="577" t="s">
        <v>1640</v>
      </c>
      <c r="BL33" s="577" t="s">
        <v>1641</v>
      </c>
      <c r="BM33" s="577" t="s">
        <v>1642</v>
      </c>
      <c r="BN33" s="577" t="s">
        <v>1643</v>
      </c>
      <c r="BO33" s="577" t="s">
        <v>1644</v>
      </c>
      <c r="BP33" s="576">
        <v>0.949</v>
      </c>
      <c r="BQ33" s="576" t="s">
        <v>1645</v>
      </c>
      <c r="BR33" s="579" t="s">
        <v>1646</v>
      </c>
    </row>
    <row r="34">
      <c r="A34" s="224"/>
      <c r="B34" s="224"/>
      <c r="C34" s="26"/>
      <c r="D34" s="224"/>
      <c r="E34" s="224"/>
      <c r="F34" s="72"/>
      <c r="G34" s="224"/>
      <c r="H34" s="224"/>
      <c r="I34" s="26"/>
      <c r="J34" s="224"/>
      <c r="K34" s="224"/>
      <c r="L34" s="26"/>
      <c r="M34" s="224"/>
      <c r="N34" s="224"/>
      <c r="O34" s="72"/>
      <c r="P34" s="72"/>
      <c r="Q34" s="224"/>
      <c r="R34" s="224"/>
      <c r="S34" s="224"/>
      <c r="T34" s="224"/>
      <c r="U34" s="518"/>
      <c r="V34" s="518"/>
      <c r="W34" s="518"/>
      <c r="X34" s="518"/>
      <c r="Y34" s="518"/>
      <c r="Z34" s="518"/>
      <c r="AA34" s="518"/>
      <c r="AB34" s="518"/>
      <c r="AC34" s="520"/>
      <c r="AD34" s="518"/>
      <c r="AE34" s="72"/>
      <c r="AF34" s="72"/>
      <c r="AG34" s="72"/>
      <c r="AH34" s="72"/>
      <c r="AI34" s="72"/>
      <c r="AJ34" s="72"/>
      <c r="AK34" s="72"/>
      <c r="AL34" s="72"/>
      <c r="AM34" s="72"/>
      <c r="AN34" s="224"/>
      <c r="AO34" s="224"/>
      <c r="AP34" s="224"/>
      <c r="AQ34" s="224"/>
      <c r="AR34" s="224"/>
      <c r="AS34" s="224"/>
      <c r="AT34" s="224"/>
      <c r="AU34" s="72"/>
      <c r="AV34" s="636"/>
      <c r="AW34" s="636"/>
      <c r="AX34" s="72"/>
      <c r="AY34" s="72"/>
      <c r="AZ34" s="72"/>
      <c r="BA34" s="518"/>
      <c r="BB34" s="72"/>
      <c r="BC34" s="72"/>
      <c r="BD34" s="518"/>
      <c r="BE34" s="518"/>
      <c r="BF34" s="518"/>
      <c r="BG34" s="518"/>
      <c r="BH34" s="518"/>
      <c r="BI34" s="518"/>
      <c r="BJ34" s="72"/>
      <c r="BK34" s="72"/>
      <c r="BL34" s="72"/>
      <c r="BM34" s="72"/>
      <c r="BN34" s="72"/>
      <c r="BO34" s="72"/>
      <c r="BP34" s="518"/>
      <c r="BQ34" s="518"/>
      <c r="BR34" s="518"/>
    </row>
    <row r="35">
      <c r="A35" s="224"/>
      <c r="B35" s="224"/>
      <c r="C35" s="26"/>
      <c r="D35" s="224"/>
      <c r="E35" s="224"/>
      <c r="F35" s="72"/>
      <c r="G35" s="224"/>
      <c r="H35" s="224"/>
      <c r="I35" s="26"/>
      <c r="J35" s="224"/>
      <c r="K35" s="224"/>
      <c r="L35" s="26"/>
      <c r="M35" s="224"/>
      <c r="N35" s="224"/>
      <c r="O35" s="72"/>
      <c r="P35" s="72"/>
      <c r="Q35" s="224"/>
      <c r="R35" s="224"/>
      <c r="S35" s="224"/>
      <c r="T35" s="224"/>
      <c r="U35" s="518"/>
      <c r="V35" s="518"/>
      <c r="W35" s="518"/>
      <c r="X35" s="518"/>
      <c r="Y35" s="518"/>
      <c r="Z35" s="518"/>
      <c r="AA35" s="518"/>
      <c r="AB35" s="518"/>
      <c r="AC35" s="520"/>
      <c r="AD35" s="518"/>
      <c r="AE35" s="72"/>
      <c r="AF35" s="72"/>
      <c r="AG35" s="72"/>
      <c r="AH35" s="72"/>
      <c r="AI35" s="72"/>
      <c r="AJ35" s="72"/>
      <c r="AK35" s="72"/>
      <c r="AL35" s="72"/>
      <c r="AM35" s="72"/>
      <c r="AN35" s="224"/>
      <c r="AO35" s="224"/>
      <c r="AP35" s="224"/>
      <c r="AQ35" s="224"/>
      <c r="AR35" s="224"/>
      <c r="AS35" s="224"/>
      <c r="AT35" s="224"/>
      <c r="AU35" s="72"/>
      <c r="AV35" s="636"/>
      <c r="AW35" s="636"/>
      <c r="AX35" s="72"/>
      <c r="AY35" s="72"/>
      <c r="AZ35" s="72"/>
      <c r="BA35" s="518"/>
      <c r="BB35" s="72"/>
      <c r="BC35" s="72"/>
      <c r="BD35" s="518"/>
      <c r="BE35" s="518"/>
      <c r="BF35" s="518"/>
      <c r="BG35" s="518"/>
      <c r="BH35" s="518"/>
      <c r="BI35" s="518"/>
      <c r="BJ35" s="72"/>
      <c r="BK35" s="72"/>
      <c r="BL35" s="72"/>
      <c r="BM35" s="72"/>
      <c r="BN35" s="72"/>
      <c r="BO35" s="72"/>
      <c r="BP35" s="518"/>
      <c r="BQ35" s="518"/>
      <c r="BR35" s="518"/>
    </row>
    <row r="36">
      <c r="A36" s="224"/>
      <c r="B36" s="224"/>
      <c r="C36" s="26"/>
      <c r="D36" s="224"/>
      <c r="E36" s="224"/>
      <c r="F36" s="72"/>
      <c r="G36" s="224"/>
      <c r="H36" s="224"/>
      <c r="I36" s="26"/>
      <c r="J36" s="224"/>
      <c r="K36" s="224"/>
      <c r="L36" s="26"/>
      <c r="M36" s="224"/>
      <c r="N36" s="224"/>
      <c r="O36" s="72"/>
      <c r="P36" s="72"/>
      <c r="Q36" s="224"/>
      <c r="R36" s="224"/>
      <c r="S36" s="224"/>
      <c r="T36" s="224"/>
      <c r="U36" s="518"/>
      <c r="V36" s="518"/>
      <c r="W36" s="518"/>
      <c r="X36" s="518"/>
      <c r="Y36" s="518"/>
      <c r="Z36" s="518"/>
      <c r="AA36" s="518"/>
      <c r="AB36" s="518"/>
      <c r="AC36" s="520"/>
      <c r="AD36" s="518"/>
      <c r="AE36" s="72"/>
      <c r="AF36" s="72"/>
      <c r="AG36" s="72"/>
      <c r="AH36" s="72"/>
      <c r="AI36" s="72"/>
      <c r="AJ36" s="72"/>
      <c r="AK36" s="72"/>
      <c r="AL36" s="72"/>
      <c r="AM36" s="72"/>
      <c r="AN36" s="224"/>
      <c r="AO36" s="224"/>
      <c r="AP36" s="224"/>
      <c r="AQ36" s="224"/>
      <c r="AR36" s="224"/>
      <c r="AS36" s="224"/>
      <c r="AT36" s="224"/>
      <c r="AU36" s="72"/>
      <c r="AV36" s="636"/>
      <c r="AW36" s="636"/>
      <c r="AX36" s="72"/>
      <c r="AY36" s="72"/>
      <c r="AZ36" s="72"/>
      <c r="BA36" s="518"/>
      <c r="BB36" s="72"/>
      <c r="BC36" s="72"/>
      <c r="BD36" s="518"/>
      <c r="BE36" s="518"/>
      <c r="BF36" s="518"/>
      <c r="BG36" s="518"/>
      <c r="BH36" s="518"/>
      <c r="BI36" s="518"/>
      <c r="BJ36" s="72"/>
      <c r="BK36" s="72"/>
      <c r="BL36" s="72"/>
      <c r="BM36" s="72"/>
      <c r="BN36" s="72"/>
      <c r="BO36" s="72"/>
      <c r="BP36" s="518"/>
      <c r="BQ36" s="518"/>
      <c r="BR36" s="518"/>
    </row>
    <row r="37">
      <c r="A37" s="224"/>
      <c r="B37" s="224"/>
      <c r="C37" s="26"/>
      <c r="D37" s="224"/>
      <c r="E37" s="224"/>
      <c r="F37" s="72"/>
      <c r="G37" s="224"/>
      <c r="H37" s="224"/>
      <c r="I37" s="26"/>
      <c r="J37" s="224"/>
      <c r="K37" s="224"/>
      <c r="L37" s="26"/>
      <c r="M37" s="224"/>
      <c r="N37" s="224"/>
      <c r="O37" s="72"/>
      <c r="P37" s="72"/>
      <c r="Q37" s="224"/>
      <c r="R37" s="224"/>
      <c r="S37" s="224"/>
      <c r="T37" s="224"/>
      <c r="U37" s="518"/>
      <c r="V37" s="518"/>
      <c r="W37" s="518"/>
      <c r="X37" s="518"/>
      <c r="Y37" s="518"/>
      <c r="Z37" s="518"/>
      <c r="AA37" s="518"/>
      <c r="AB37" s="518"/>
      <c r="AC37" s="518"/>
      <c r="AD37" s="518"/>
      <c r="AE37" s="72"/>
      <c r="AF37" s="72"/>
      <c r="AG37" s="72"/>
      <c r="AH37" s="72"/>
      <c r="AI37" s="72"/>
      <c r="AJ37" s="72"/>
      <c r="AK37" s="72"/>
      <c r="AL37" s="72"/>
      <c r="AM37" s="72"/>
      <c r="AN37" s="224"/>
      <c r="AO37" s="224"/>
      <c r="AP37" s="224"/>
      <c r="AQ37" s="224"/>
      <c r="AR37" s="224"/>
      <c r="AS37" s="224"/>
      <c r="AT37" s="224"/>
      <c r="AU37" s="72"/>
      <c r="AV37" s="72"/>
      <c r="AW37" s="72"/>
      <c r="AX37" s="72"/>
      <c r="AY37" s="72"/>
      <c r="AZ37" s="72"/>
      <c r="BA37" s="518"/>
      <c r="BB37" s="72"/>
      <c r="BC37" s="72"/>
      <c r="BD37" s="518"/>
      <c r="BE37" s="518"/>
      <c r="BF37" s="518"/>
      <c r="BG37" s="518"/>
      <c r="BH37" s="518"/>
      <c r="BI37" s="518"/>
      <c r="BJ37" s="72"/>
      <c r="BK37" s="72"/>
      <c r="BL37" s="72"/>
      <c r="BM37" s="72"/>
      <c r="BN37" s="72"/>
      <c r="BO37" s="72"/>
      <c r="BP37" s="518"/>
      <c r="BQ37" s="518"/>
      <c r="BR37" s="518"/>
    </row>
    <row r="38">
      <c r="A38" s="224"/>
      <c r="B38" s="224"/>
      <c r="C38" s="26"/>
      <c r="D38" s="224"/>
      <c r="E38" s="224"/>
      <c r="F38" s="72"/>
      <c r="G38" s="224"/>
      <c r="H38" s="224"/>
      <c r="I38" s="26"/>
      <c r="J38" s="224"/>
      <c r="K38" s="224"/>
      <c r="L38" s="26"/>
      <c r="M38" s="224"/>
      <c r="N38" s="224"/>
      <c r="O38" s="72"/>
      <c r="P38" s="72"/>
      <c r="Q38" s="224"/>
      <c r="R38" s="224"/>
      <c r="S38" s="224"/>
      <c r="T38" s="224"/>
      <c r="U38" s="518"/>
      <c r="V38" s="518"/>
      <c r="W38" s="518"/>
      <c r="X38" s="518"/>
      <c r="Y38" s="518"/>
      <c r="Z38" s="518"/>
      <c r="AA38" s="518"/>
      <c r="AB38" s="518"/>
      <c r="AC38" s="518"/>
      <c r="AD38" s="518"/>
      <c r="AE38" s="72"/>
      <c r="AF38" s="72"/>
      <c r="AG38" s="72"/>
      <c r="AH38" s="72"/>
      <c r="AI38" s="72"/>
      <c r="AJ38" s="72"/>
      <c r="AK38" s="72"/>
      <c r="AL38" s="72"/>
      <c r="AM38" s="72"/>
      <c r="AN38" s="224"/>
      <c r="AO38" s="224"/>
      <c r="AP38" s="224"/>
      <c r="AQ38" s="224"/>
      <c r="AR38" s="224"/>
      <c r="AS38" s="224"/>
      <c r="AT38" s="224"/>
      <c r="AU38" s="72"/>
      <c r="AV38" s="72"/>
      <c r="AW38" s="72"/>
      <c r="AX38" s="72"/>
      <c r="AY38" s="72"/>
      <c r="AZ38" s="72"/>
      <c r="BA38" s="518"/>
      <c r="BB38" s="72"/>
      <c r="BC38" s="72"/>
      <c r="BD38" s="518"/>
      <c r="BE38" s="518"/>
      <c r="BF38" s="518"/>
      <c r="BG38" s="518"/>
      <c r="BH38" s="518"/>
      <c r="BI38" s="518"/>
      <c r="BJ38" s="72"/>
      <c r="BK38" s="72"/>
      <c r="BL38" s="72"/>
      <c r="BM38" s="72"/>
      <c r="BN38" s="72"/>
      <c r="BO38" s="72"/>
      <c r="BP38" s="518"/>
      <c r="BQ38" s="518"/>
      <c r="BR38" s="518"/>
    </row>
    <row r="39">
      <c r="A39" s="224"/>
      <c r="B39" s="224"/>
      <c r="C39" s="26"/>
      <c r="D39" s="224"/>
      <c r="E39" s="224"/>
      <c r="F39" s="72"/>
      <c r="G39" s="224"/>
      <c r="H39" s="224"/>
      <c r="I39" s="26"/>
      <c r="J39" s="224"/>
      <c r="K39" s="224"/>
      <c r="L39" s="26"/>
      <c r="M39" s="224"/>
      <c r="N39" s="224"/>
      <c r="O39" s="72"/>
      <c r="P39" s="72"/>
      <c r="Q39" s="224"/>
      <c r="R39" s="224"/>
      <c r="S39" s="224"/>
      <c r="T39" s="224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224"/>
      <c r="AO39" s="224"/>
      <c r="AP39" s="224"/>
      <c r="AQ39" s="224"/>
      <c r="AR39" s="224"/>
      <c r="AS39" s="224"/>
      <c r="AT39" s="224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</row>
    <row r="41">
      <c r="A41" s="224"/>
    </row>
    <row r="42">
      <c r="A42" s="224"/>
      <c r="L42" s="224" t="s">
        <v>692</v>
      </c>
    </row>
    <row r="43">
      <c r="A43" s="224" t="s">
        <v>693</v>
      </c>
    </row>
    <row r="48">
      <c r="AX48" s="224"/>
      <c r="AY48" s="224"/>
      <c r="AZ48" s="224"/>
      <c r="BA48" s="224" t="s">
        <v>1647</v>
      </c>
    </row>
    <row r="49">
      <c r="BA49" s="1" t="s">
        <v>12</v>
      </c>
      <c r="BB49" s="1" t="s">
        <v>13</v>
      </c>
      <c r="BD49" s="1" t="s">
        <v>14</v>
      </c>
      <c r="BE49" s="1" t="s">
        <v>15</v>
      </c>
    </row>
    <row r="50">
      <c r="AV50" s="224" t="s">
        <v>694</v>
      </c>
      <c r="AW50" s="224"/>
      <c r="AX50" s="531"/>
      <c r="AY50" s="531"/>
      <c r="AZ50" s="531"/>
      <c r="BA50" s="531">
        <v>0.708</v>
      </c>
      <c r="BB50" s="531">
        <v>0.714</v>
      </c>
      <c r="BC50" s="531"/>
      <c r="BD50" s="72">
        <v>0.621</v>
      </c>
      <c r="BE50" s="72">
        <v>0.387</v>
      </c>
      <c r="BF50" s="72"/>
    </row>
    <row r="51">
      <c r="AV51" s="224" t="s">
        <v>695</v>
      </c>
      <c r="AW51" s="224"/>
      <c r="AX51" s="72"/>
      <c r="AY51" s="72"/>
      <c r="AZ51" s="72"/>
      <c r="BA51" s="72">
        <v>0.684</v>
      </c>
      <c r="BB51" s="72">
        <v>0.282</v>
      </c>
      <c r="BC51" s="72"/>
      <c r="BD51" s="531">
        <v>0.755</v>
      </c>
      <c r="BE51" s="531">
        <v>0.491</v>
      </c>
      <c r="BF51" s="531"/>
    </row>
  </sheetData>
  <mergeCells count="16">
    <mergeCell ref="AC3:AD3"/>
    <mergeCell ref="AI3:AJ3"/>
    <mergeCell ref="AO3:AP3"/>
    <mergeCell ref="AU3:AV3"/>
    <mergeCell ref="AX3:AY3"/>
    <mergeCell ref="BH3:BI3"/>
    <mergeCell ref="BP3:BR3"/>
    <mergeCell ref="A5:A14"/>
    <mergeCell ref="A15:A33"/>
    <mergeCell ref="A1:B1"/>
    <mergeCell ref="C3:D3"/>
    <mergeCell ref="F3:G3"/>
    <mergeCell ref="I3:J3"/>
    <mergeCell ref="L3:M3"/>
    <mergeCell ref="O3:Q3"/>
    <mergeCell ref="U3:V3"/>
  </mergeCells>
  <conditionalFormatting sqref="AB13 C22:C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:F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2:I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2:L23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2:O2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22:D23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:U23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:Y23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22:W2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C22:AC2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5 R5:T29 Q22:Q23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:C30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:F30 F32:F33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:I33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L33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5:O33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5:D33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5:U12 U14:U33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5:Y12 X13 Y14:Y3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5:W12 V13 W14:W33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C5:AC12 AB13 AC14:AC33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5:Q30 R5:T29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0.0"/>
    <col customWidth="1" min="2" max="2" width="26.71"/>
    <col customWidth="1" min="3" max="3" width="9.57"/>
    <col customWidth="1" min="4" max="6" width="11.86"/>
    <col customWidth="1" min="7" max="7" width="9.43"/>
    <col customWidth="1" min="11" max="11" width="8.0"/>
    <col customWidth="1" min="15" max="15" width="11.29"/>
    <col customWidth="1" min="19" max="19" width="9.71"/>
    <col customWidth="1" min="20" max="21" width="14.57"/>
    <col customWidth="1" min="22" max="26" width="11.57"/>
    <col customWidth="1" min="27" max="27" width="9.71"/>
    <col customWidth="1" min="28" max="28" width="11.14"/>
    <col customWidth="1" min="29" max="29" width="9.71"/>
    <col customWidth="1" min="30" max="30" width="12.71"/>
    <col customWidth="1" min="31" max="31" width="9.71"/>
    <col customWidth="1" min="32" max="32" width="12.0"/>
    <col customWidth="1" min="33" max="33" width="9.71"/>
    <col customWidth="1" min="34" max="34" width="12.57"/>
    <col customWidth="1" min="35" max="35" width="9.71"/>
    <col customWidth="1" min="36" max="36" width="11.86"/>
    <col customWidth="1" min="37" max="45" width="9.71"/>
    <col customWidth="1" min="46" max="46" width="11.71"/>
    <col customWidth="1" min="47" max="47" width="10.71"/>
    <col customWidth="1" min="48" max="48" width="12.14"/>
    <col customWidth="1" min="49" max="49" width="12.43"/>
    <col customWidth="1" min="50" max="50" width="11.0"/>
    <col customWidth="1" min="51" max="51" width="12.57"/>
    <col customWidth="1" min="52" max="52" width="15.57"/>
    <col customWidth="1" hidden="1" min="53" max="53" width="8.0"/>
    <col customWidth="1" min="54" max="54" width="12.57"/>
    <col customWidth="1" min="55" max="55" width="13.57"/>
    <col customWidth="1" min="56" max="56" width="6.57"/>
    <col customWidth="1" min="57" max="57" width="13.43"/>
    <col customWidth="1" min="58" max="58" width="12.14"/>
    <col hidden="1" min="59" max="68" width="14.43"/>
    <col customWidth="1" hidden="1" min="69" max="69" width="11.57"/>
    <col hidden="1" min="70" max="74" width="14.43"/>
    <col hidden="1" min="78" max="78" width="14.43"/>
    <col hidden="1" min="82" max="82" width="14.43"/>
    <col customWidth="1" min="86" max="86" width="10.14"/>
    <col customWidth="1" min="87" max="88" width="13.14"/>
  </cols>
  <sheetData>
    <row r="1">
      <c r="A1" s="483" t="s">
        <v>1648</v>
      </c>
      <c r="C1" s="224"/>
    </row>
    <row r="2">
      <c r="A2" s="483" t="s">
        <v>1649</v>
      </c>
      <c r="C2" s="484" t="s">
        <v>2</v>
      </c>
      <c r="AA2" s="484" t="s">
        <v>3</v>
      </c>
      <c r="AF2" s="224" t="s">
        <v>692</v>
      </c>
      <c r="AK2" s="484" t="s">
        <v>4</v>
      </c>
      <c r="AU2" s="484" t="s">
        <v>5</v>
      </c>
      <c r="BM2" s="484" t="s">
        <v>1650</v>
      </c>
      <c r="BV2" s="484" t="s">
        <v>6</v>
      </c>
      <c r="BW2" s="484" t="s">
        <v>6</v>
      </c>
      <c r="CK2" s="484" t="s">
        <v>1651</v>
      </c>
      <c r="CL2" s="484" t="s">
        <v>1652</v>
      </c>
    </row>
    <row r="3">
      <c r="A3" s="224"/>
      <c r="B3" s="224"/>
      <c r="C3" s="180" t="s">
        <v>12</v>
      </c>
      <c r="D3" s="485"/>
      <c r="E3" s="485"/>
      <c r="F3" s="486"/>
      <c r="G3" s="486" t="s">
        <v>13</v>
      </c>
      <c r="H3" s="485"/>
      <c r="I3" s="485"/>
      <c r="J3" s="486"/>
      <c r="K3" s="486" t="s">
        <v>14</v>
      </c>
      <c r="L3" s="485"/>
      <c r="M3" s="485"/>
      <c r="N3" s="486"/>
      <c r="O3" s="486" t="s">
        <v>15</v>
      </c>
      <c r="P3" s="485"/>
      <c r="Q3" s="485"/>
      <c r="R3" s="486"/>
      <c r="S3" s="486" t="s">
        <v>16</v>
      </c>
      <c r="T3" s="485"/>
      <c r="U3" s="485"/>
      <c r="V3" s="487"/>
      <c r="W3" s="486" t="s">
        <v>17</v>
      </c>
      <c r="X3" s="486"/>
      <c r="Y3" s="486"/>
      <c r="Z3" s="486"/>
      <c r="AA3" s="488" t="s">
        <v>18</v>
      </c>
      <c r="AB3" s="485"/>
      <c r="AC3" s="489" t="s">
        <v>19</v>
      </c>
      <c r="AD3" s="489"/>
      <c r="AE3" s="489" t="s">
        <v>20</v>
      </c>
      <c r="AF3" s="489"/>
      <c r="AG3" s="489" t="s">
        <v>21</v>
      </c>
      <c r="AH3" s="489"/>
      <c r="AI3" s="489" t="s">
        <v>22</v>
      </c>
      <c r="AJ3" s="487"/>
      <c r="AK3" s="180" t="s">
        <v>23</v>
      </c>
      <c r="AL3" s="486"/>
      <c r="AM3" s="486" t="s">
        <v>24</v>
      </c>
      <c r="AN3" s="486"/>
      <c r="AO3" s="486" t="s">
        <v>25</v>
      </c>
      <c r="AP3" s="485"/>
      <c r="AQ3" s="486" t="s">
        <v>26</v>
      </c>
      <c r="AR3" s="486"/>
      <c r="AS3" s="486" t="s">
        <v>27</v>
      </c>
      <c r="AT3" s="24"/>
      <c r="AU3" s="180" t="s">
        <v>31</v>
      </c>
      <c r="AV3" s="485"/>
      <c r="AW3" s="486"/>
      <c r="AX3" s="486" t="s">
        <v>32</v>
      </c>
      <c r="AY3" s="485"/>
      <c r="AZ3" s="486"/>
      <c r="BA3" s="486" t="s">
        <v>808</v>
      </c>
      <c r="BB3" s="486" t="s">
        <v>33</v>
      </c>
      <c r="BC3" s="486"/>
      <c r="BD3" s="489" t="s">
        <v>34</v>
      </c>
      <c r="BE3" s="489"/>
      <c r="BF3" s="490"/>
      <c r="BG3" s="637" t="s">
        <v>1653</v>
      </c>
      <c r="BH3" s="485"/>
      <c r="BI3" s="485"/>
      <c r="BJ3" s="637" t="s">
        <v>1654</v>
      </c>
      <c r="BK3" s="485"/>
      <c r="BL3" s="487"/>
      <c r="BM3" s="486" t="s">
        <v>1655</v>
      </c>
      <c r="BN3" s="485"/>
      <c r="BO3" s="486"/>
      <c r="BP3" s="486" t="s">
        <v>1656</v>
      </c>
      <c r="BQ3" s="486"/>
      <c r="BR3" s="486"/>
      <c r="BS3" s="486" t="s">
        <v>1657</v>
      </c>
      <c r="BT3" s="486"/>
      <c r="BU3" s="486"/>
      <c r="BV3" s="488" t="s">
        <v>36</v>
      </c>
      <c r="BW3" s="485"/>
      <c r="BX3" s="489"/>
      <c r="BY3" s="485"/>
      <c r="BZ3" s="486"/>
      <c r="CA3" s="486" t="s">
        <v>37</v>
      </c>
      <c r="CB3" s="486"/>
      <c r="CC3" s="486"/>
      <c r="CD3" s="486"/>
      <c r="CE3" s="486" t="s">
        <v>38</v>
      </c>
      <c r="CF3" s="486"/>
      <c r="CG3" s="486"/>
      <c r="CH3" s="489" t="s">
        <v>39</v>
      </c>
      <c r="CI3" s="485"/>
      <c r="CJ3" s="487"/>
      <c r="CK3" s="638"/>
      <c r="CL3" s="638"/>
    </row>
    <row r="4">
      <c r="C4" s="491" t="s">
        <v>44</v>
      </c>
      <c r="D4" s="492" t="s">
        <v>1658</v>
      </c>
      <c r="E4" s="492" t="s">
        <v>809</v>
      </c>
      <c r="F4" s="492" t="s">
        <v>810</v>
      </c>
      <c r="G4" s="492" t="s">
        <v>44</v>
      </c>
      <c r="H4" s="492" t="s">
        <v>1658</v>
      </c>
      <c r="I4" s="492" t="s">
        <v>809</v>
      </c>
      <c r="J4" s="492" t="s">
        <v>810</v>
      </c>
      <c r="K4" s="492" t="s">
        <v>44</v>
      </c>
      <c r="L4" s="492" t="s">
        <v>1658</v>
      </c>
      <c r="M4" s="492" t="s">
        <v>809</v>
      </c>
      <c r="N4" s="492" t="s">
        <v>810</v>
      </c>
      <c r="O4" s="492" t="s">
        <v>44</v>
      </c>
      <c r="P4" s="492" t="s">
        <v>1658</v>
      </c>
      <c r="Q4" s="492" t="s">
        <v>809</v>
      </c>
      <c r="R4" s="492" t="s">
        <v>810</v>
      </c>
      <c r="S4" s="224" t="s">
        <v>44</v>
      </c>
      <c r="T4" s="224" t="s">
        <v>1658</v>
      </c>
      <c r="U4" s="492" t="s">
        <v>809</v>
      </c>
      <c r="V4" s="324" t="s">
        <v>810</v>
      </c>
      <c r="W4" s="224" t="s">
        <v>44</v>
      </c>
      <c r="X4" s="224" t="s">
        <v>1658</v>
      </c>
      <c r="Y4" s="492" t="s">
        <v>809</v>
      </c>
      <c r="Z4" s="324" t="s">
        <v>810</v>
      </c>
      <c r="AA4" s="493" t="s">
        <v>44</v>
      </c>
      <c r="AB4" s="494" t="s">
        <v>809</v>
      </c>
      <c r="AC4" s="494" t="s">
        <v>44</v>
      </c>
      <c r="AD4" s="494" t="s">
        <v>809</v>
      </c>
      <c r="AE4" s="494" t="s">
        <v>44</v>
      </c>
      <c r="AF4" s="494" t="s">
        <v>809</v>
      </c>
      <c r="AG4" s="494" t="s">
        <v>44</v>
      </c>
      <c r="AH4" s="494" t="s">
        <v>809</v>
      </c>
      <c r="AI4" s="494" t="s">
        <v>44</v>
      </c>
      <c r="AJ4" s="495" t="s">
        <v>809</v>
      </c>
      <c r="AK4" s="491" t="s">
        <v>44</v>
      </c>
      <c r="AL4" s="492" t="s">
        <v>809</v>
      </c>
      <c r="AM4" s="492" t="s">
        <v>44</v>
      </c>
      <c r="AN4" s="492" t="s">
        <v>809</v>
      </c>
      <c r="AO4" s="492" t="s">
        <v>44</v>
      </c>
      <c r="AP4" s="492" t="s">
        <v>809</v>
      </c>
      <c r="AQ4" s="492" t="s">
        <v>44</v>
      </c>
      <c r="AR4" s="492" t="s">
        <v>809</v>
      </c>
      <c r="AS4" s="492" t="s">
        <v>44</v>
      </c>
      <c r="AT4" s="324" t="s">
        <v>809</v>
      </c>
      <c r="AU4" s="491" t="s">
        <v>44</v>
      </c>
      <c r="AV4" s="492" t="s">
        <v>809</v>
      </c>
      <c r="AW4" s="492" t="s">
        <v>810</v>
      </c>
      <c r="AX4" s="492" t="s">
        <v>44</v>
      </c>
      <c r="AY4" s="492" t="s">
        <v>809</v>
      </c>
      <c r="AZ4" s="492" t="s">
        <v>810</v>
      </c>
      <c r="BA4" s="494" t="s">
        <v>44</v>
      </c>
      <c r="BB4" s="492" t="s">
        <v>809</v>
      </c>
      <c r="BC4" s="492" t="s">
        <v>810</v>
      </c>
      <c r="BD4" s="494" t="s">
        <v>44</v>
      </c>
      <c r="BE4" s="494" t="s">
        <v>809</v>
      </c>
      <c r="BF4" s="495" t="s">
        <v>810</v>
      </c>
      <c r="BG4" s="639" t="s">
        <v>1659</v>
      </c>
      <c r="BH4" s="639" t="s">
        <v>809</v>
      </c>
      <c r="BI4" s="639" t="s">
        <v>810</v>
      </c>
      <c r="BJ4" s="639" t="s">
        <v>1659</v>
      </c>
      <c r="BK4" s="639" t="s">
        <v>809</v>
      </c>
      <c r="BL4" s="639" t="s">
        <v>810</v>
      </c>
      <c r="BM4" s="491" t="s">
        <v>44</v>
      </c>
      <c r="BN4" s="492" t="s">
        <v>809</v>
      </c>
      <c r="BO4" s="492" t="s">
        <v>810</v>
      </c>
      <c r="BP4" s="492" t="s">
        <v>44</v>
      </c>
      <c r="BQ4" s="492" t="s">
        <v>809</v>
      </c>
      <c r="BR4" s="492" t="s">
        <v>810</v>
      </c>
      <c r="BS4" s="492" t="s">
        <v>44</v>
      </c>
      <c r="BT4" s="492" t="s">
        <v>809</v>
      </c>
      <c r="BU4" s="492" t="s">
        <v>810</v>
      </c>
      <c r="BV4" s="640" t="s">
        <v>44</v>
      </c>
      <c r="BW4" s="494" t="s">
        <v>809</v>
      </c>
      <c r="BX4" s="494" t="s">
        <v>811</v>
      </c>
      <c r="BY4" s="494" t="s">
        <v>810</v>
      </c>
      <c r="BZ4" s="494" t="s">
        <v>44</v>
      </c>
      <c r="CA4" s="492" t="s">
        <v>809</v>
      </c>
      <c r="CB4" s="492" t="s">
        <v>811</v>
      </c>
      <c r="CC4" s="492" t="s">
        <v>810</v>
      </c>
      <c r="CD4" s="492" t="s">
        <v>44</v>
      </c>
      <c r="CE4" s="492" t="s">
        <v>809</v>
      </c>
      <c r="CF4" s="492" t="s">
        <v>811</v>
      </c>
      <c r="CG4" s="492" t="s">
        <v>810</v>
      </c>
      <c r="CH4" s="494" t="s">
        <v>44</v>
      </c>
      <c r="CI4" s="495" t="s">
        <v>809</v>
      </c>
      <c r="CJ4" s="495" t="s">
        <v>810</v>
      </c>
    </row>
    <row r="5">
      <c r="A5" s="180" t="s">
        <v>52</v>
      </c>
      <c r="B5" s="496" t="s">
        <v>53</v>
      </c>
      <c r="C5" s="457">
        <v>0.832</v>
      </c>
      <c r="D5" s="457"/>
      <c r="E5" s="457" t="s">
        <v>1660</v>
      </c>
      <c r="F5" s="457" t="s">
        <v>1661</v>
      </c>
      <c r="G5" s="457">
        <v>0.341</v>
      </c>
      <c r="H5" s="72">
        <v>0.675</v>
      </c>
      <c r="I5" s="457" t="s">
        <v>1662</v>
      </c>
      <c r="J5" s="457" t="s">
        <v>815</v>
      </c>
      <c r="K5" s="457">
        <v>0.793</v>
      </c>
      <c r="L5" s="72">
        <v>0.832</v>
      </c>
      <c r="M5" s="457" t="s">
        <v>1663</v>
      </c>
      <c r="N5" s="457" t="s">
        <v>817</v>
      </c>
      <c r="O5" s="457">
        <v>0.632</v>
      </c>
      <c r="P5" s="72">
        <v>0.742</v>
      </c>
      <c r="Q5" s="457" t="s">
        <v>1664</v>
      </c>
      <c r="R5" s="72" t="s">
        <v>1665</v>
      </c>
      <c r="S5" s="457">
        <v>0.835</v>
      </c>
      <c r="T5" s="457">
        <v>0.95</v>
      </c>
      <c r="U5" s="457" t="s">
        <v>820</v>
      </c>
      <c r="V5" s="457" t="s">
        <v>821</v>
      </c>
      <c r="W5" s="457"/>
      <c r="X5" s="457"/>
      <c r="Y5" s="457"/>
      <c r="Z5" s="457"/>
      <c r="AA5" s="581"/>
      <c r="AB5" s="507" t="s">
        <v>1666</v>
      </c>
      <c r="AC5" s="507"/>
      <c r="AD5" s="507" t="s">
        <v>825</v>
      </c>
      <c r="AE5" s="507"/>
      <c r="AF5" s="507" t="s">
        <v>826</v>
      </c>
      <c r="AG5" s="507"/>
      <c r="AH5" s="507"/>
      <c r="AI5" s="641"/>
      <c r="AJ5" s="585" t="s">
        <v>1667</v>
      </c>
      <c r="AK5" s="505"/>
      <c r="AL5" s="457" t="s">
        <v>829</v>
      </c>
      <c r="AM5" s="457"/>
      <c r="AN5" s="457" t="s">
        <v>830</v>
      </c>
      <c r="AO5" s="457"/>
      <c r="AP5" s="457" t="s">
        <v>831</v>
      </c>
      <c r="AQ5" s="457"/>
      <c r="AR5" s="457" t="s">
        <v>832</v>
      </c>
      <c r="AS5" s="457"/>
      <c r="AT5" s="506" t="s">
        <v>833</v>
      </c>
      <c r="AU5" s="505" t="s">
        <v>98</v>
      </c>
      <c r="AV5" s="457" t="s">
        <v>834</v>
      </c>
      <c r="AW5" s="457" t="s">
        <v>835</v>
      </c>
      <c r="AX5" s="72" t="s">
        <v>102</v>
      </c>
      <c r="AY5" s="72" t="s">
        <v>836</v>
      </c>
      <c r="AZ5" s="457" t="s">
        <v>837</v>
      </c>
      <c r="BA5" s="507">
        <v>0.993</v>
      </c>
      <c r="BB5" s="457" t="s">
        <v>838</v>
      </c>
      <c r="BC5" s="457" t="s">
        <v>839</v>
      </c>
      <c r="BD5" s="507"/>
      <c r="BE5" s="507"/>
      <c r="BF5" s="585"/>
      <c r="BG5" s="642"/>
      <c r="BH5" s="642"/>
      <c r="BI5" s="643"/>
      <c r="BJ5" s="643"/>
      <c r="BK5" s="643"/>
      <c r="BL5" s="643"/>
      <c r="BM5" s="505"/>
      <c r="BN5" s="457"/>
      <c r="BO5" s="457"/>
      <c r="BP5" s="457"/>
      <c r="BQ5" s="457"/>
      <c r="BR5" s="457"/>
      <c r="BS5" s="457"/>
      <c r="BT5" s="457"/>
      <c r="BU5" s="457"/>
      <c r="BV5" s="517"/>
      <c r="BW5" s="508" t="s">
        <v>842</v>
      </c>
      <c r="BX5" s="509" t="s">
        <v>843</v>
      </c>
      <c r="BY5" s="509" t="s">
        <v>844</v>
      </c>
      <c r="BZ5" s="509"/>
      <c r="CA5" s="510" t="s">
        <v>845</v>
      </c>
      <c r="CB5" s="510" t="s">
        <v>846</v>
      </c>
      <c r="CC5" s="511" t="s">
        <v>847</v>
      </c>
      <c r="CD5" s="509"/>
      <c r="CE5" s="511" t="s">
        <v>848</v>
      </c>
      <c r="CF5" s="511" t="s">
        <v>849</v>
      </c>
      <c r="CG5" s="511" t="s">
        <v>850</v>
      </c>
      <c r="CH5" s="509">
        <v>0.963</v>
      </c>
      <c r="CI5" s="509" t="s">
        <v>851</v>
      </c>
      <c r="CJ5" s="512" t="s">
        <v>852</v>
      </c>
    </row>
    <row r="6">
      <c r="A6" s="513"/>
      <c r="B6" s="514" t="s">
        <v>114</v>
      </c>
      <c r="C6" s="72">
        <v>0.903</v>
      </c>
      <c r="D6" s="72"/>
      <c r="E6" s="72" t="s">
        <v>853</v>
      </c>
      <c r="F6" s="72" t="s">
        <v>854</v>
      </c>
      <c r="G6" s="72">
        <v>0.359</v>
      </c>
      <c r="I6" s="72" t="s">
        <v>855</v>
      </c>
      <c r="J6" s="72" t="s">
        <v>856</v>
      </c>
      <c r="K6" s="72">
        <v>0.81</v>
      </c>
      <c r="M6" s="72" t="s">
        <v>857</v>
      </c>
      <c r="N6" s="72" t="s">
        <v>856</v>
      </c>
      <c r="O6" s="72">
        <v>0.705</v>
      </c>
      <c r="P6" s="224">
        <v>0.747</v>
      </c>
      <c r="Q6" s="72" t="s">
        <v>858</v>
      </c>
      <c r="R6" s="72" t="s">
        <v>859</v>
      </c>
      <c r="S6" s="531">
        <v>0.935</v>
      </c>
      <c r="T6" s="72">
        <v>0.9688</v>
      </c>
      <c r="U6" s="72" t="s">
        <v>860</v>
      </c>
      <c r="V6" s="72" t="s">
        <v>861</v>
      </c>
      <c r="W6" s="72">
        <v>0.925</v>
      </c>
      <c r="X6" s="72"/>
      <c r="Y6" s="72" t="s">
        <v>1668</v>
      </c>
      <c r="Z6" s="72"/>
      <c r="AA6" s="517">
        <v>0.525</v>
      </c>
      <c r="AB6" s="518" t="s">
        <v>864</v>
      </c>
      <c r="AC6" s="518">
        <v>0.11</v>
      </c>
      <c r="AD6" s="518" t="s">
        <v>865</v>
      </c>
      <c r="AE6" s="518">
        <v>0.544</v>
      </c>
      <c r="AF6" s="518" t="s">
        <v>866</v>
      </c>
      <c r="AG6" s="518"/>
      <c r="AH6" s="518"/>
      <c r="AI6" s="520">
        <v>0.373</v>
      </c>
      <c r="AJ6" s="521" t="s">
        <v>868</v>
      </c>
      <c r="AK6" s="522"/>
      <c r="AL6" s="72" t="s">
        <v>869</v>
      </c>
      <c r="AM6" s="72"/>
      <c r="AN6" s="72" t="s">
        <v>870</v>
      </c>
      <c r="AO6" s="72"/>
      <c r="AP6" s="72" t="s">
        <v>871</v>
      </c>
      <c r="AQ6" s="72"/>
      <c r="AR6" s="72" t="s">
        <v>872</v>
      </c>
      <c r="AS6" s="72"/>
      <c r="AT6" s="142" t="s">
        <v>873</v>
      </c>
      <c r="AU6" s="72">
        <v>0.907</v>
      </c>
      <c r="AV6" s="72" t="s">
        <v>875</v>
      </c>
      <c r="AW6" s="72" t="s">
        <v>876</v>
      </c>
      <c r="AX6" s="72">
        <v>0.872</v>
      </c>
      <c r="AY6" s="72" t="s">
        <v>877</v>
      </c>
      <c r="AZ6" s="72" t="s">
        <v>878</v>
      </c>
      <c r="BA6" s="518">
        <v>0.998</v>
      </c>
      <c r="BB6" s="72" t="s">
        <v>879</v>
      </c>
      <c r="BC6" s="72" t="s">
        <v>880</v>
      </c>
      <c r="BD6" s="518"/>
      <c r="BE6" s="518" t="s">
        <v>1669</v>
      </c>
      <c r="BF6" s="521" t="s">
        <v>1670</v>
      </c>
      <c r="BG6" s="642"/>
      <c r="BH6" s="642"/>
      <c r="BI6" s="642"/>
      <c r="BJ6" s="642"/>
      <c r="BK6" s="642"/>
      <c r="BL6" s="642"/>
      <c r="BM6" s="522"/>
      <c r="BN6" s="72"/>
      <c r="BO6" s="72"/>
      <c r="BP6" s="72"/>
      <c r="BQ6" s="72"/>
      <c r="BR6" s="72"/>
      <c r="BS6" s="72"/>
      <c r="BT6" s="72"/>
      <c r="BU6" s="72"/>
      <c r="BV6" s="517"/>
      <c r="BW6" s="508" t="s">
        <v>1671</v>
      </c>
      <c r="BX6" s="508" t="s">
        <v>883</v>
      </c>
      <c r="BY6" s="508" t="s">
        <v>884</v>
      </c>
      <c r="BZ6" s="508"/>
      <c r="CA6" s="510" t="s">
        <v>885</v>
      </c>
      <c r="CB6" s="510" t="s">
        <v>886</v>
      </c>
      <c r="CC6" s="510" t="s">
        <v>887</v>
      </c>
      <c r="CD6" s="508"/>
      <c r="CE6" s="510" t="s">
        <v>888</v>
      </c>
      <c r="CF6" s="510" t="s">
        <v>889</v>
      </c>
      <c r="CG6" s="510" t="s">
        <v>890</v>
      </c>
      <c r="CH6" s="508">
        <v>0.985</v>
      </c>
      <c r="CI6" s="508" t="s">
        <v>891</v>
      </c>
      <c r="CJ6" s="526" t="s">
        <v>892</v>
      </c>
    </row>
    <row r="7">
      <c r="A7" s="513"/>
      <c r="B7" s="514" t="s">
        <v>696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 t="s">
        <v>893</v>
      </c>
      <c r="N7" s="72" t="s">
        <v>894</v>
      </c>
      <c r="O7" s="72"/>
      <c r="P7" s="72"/>
      <c r="Q7" s="72" t="s">
        <v>895</v>
      </c>
      <c r="R7" s="72"/>
      <c r="S7" s="527"/>
      <c r="U7" s="72" t="s">
        <v>896</v>
      </c>
      <c r="V7" s="527"/>
      <c r="W7" s="527">
        <v>0.91</v>
      </c>
      <c r="X7" s="527"/>
      <c r="Y7" s="527" t="s">
        <v>897</v>
      </c>
      <c r="Z7" s="527"/>
      <c r="AA7" s="517"/>
      <c r="AB7" s="518"/>
      <c r="AC7" s="518"/>
      <c r="AD7" s="518"/>
      <c r="AE7" s="518"/>
      <c r="AF7" s="518"/>
      <c r="AG7" s="543"/>
      <c r="AH7" s="543"/>
      <c r="AI7" s="520"/>
      <c r="AJ7" s="529"/>
      <c r="AK7" s="530"/>
      <c r="AL7" s="527" t="s">
        <v>898</v>
      </c>
      <c r="AM7" s="531"/>
      <c r="AN7" s="72"/>
      <c r="AO7" s="531"/>
      <c r="AP7" s="72"/>
      <c r="AQ7" s="531"/>
      <c r="AR7" s="527"/>
      <c r="AS7" s="531"/>
      <c r="AT7" s="532"/>
      <c r="AU7" s="534"/>
      <c r="AV7" s="534"/>
      <c r="AW7" s="534"/>
      <c r="AX7" s="534"/>
      <c r="AY7" s="534"/>
      <c r="AZ7" s="534"/>
      <c r="BA7" s="535"/>
      <c r="BB7" s="510"/>
      <c r="BC7" s="510"/>
      <c r="BD7" s="543"/>
      <c r="BE7" s="543"/>
      <c r="BF7" s="644"/>
      <c r="BG7" s="645"/>
      <c r="BH7" s="645"/>
      <c r="BI7" s="645"/>
      <c r="BJ7" s="645"/>
      <c r="BK7" s="645"/>
      <c r="BL7" s="645"/>
      <c r="BM7" s="530"/>
      <c r="BN7" s="531"/>
      <c r="BO7" s="531"/>
      <c r="BP7" s="531"/>
      <c r="BQ7" s="531"/>
      <c r="BR7" s="531"/>
      <c r="BS7" s="531"/>
      <c r="BT7" s="531"/>
      <c r="BU7" s="531"/>
      <c r="BV7" s="646"/>
      <c r="BW7" s="508"/>
      <c r="BX7" s="508"/>
      <c r="BY7" s="508"/>
      <c r="BZ7" s="508"/>
      <c r="CA7" s="510"/>
      <c r="CB7" s="510"/>
      <c r="CC7" s="510"/>
      <c r="CD7" s="508"/>
      <c r="CE7" s="538"/>
      <c r="CF7" s="510"/>
      <c r="CG7" s="538"/>
      <c r="CH7" s="508"/>
      <c r="CI7" s="535"/>
      <c r="CJ7" s="539"/>
    </row>
    <row r="8">
      <c r="A8" s="513"/>
      <c r="B8" s="514" t="s">
        <v>700</v>
      </c>
      <c r="C8" s="72">
        <v>0.888</v>
      </c>
      <c r="D8" s="72"/>
      <c r="E8" s="72"/>
      <c r="F8" s="72"/>
      <c r="G8" s="72">
        <v>0.456</v>
      </c>
      <c r="H8" s="72"/>
      <c r="I8" s="72" t="s">
        <v>899</v>
      </c>
      <c r="J8" s="72"/>
      <c r="K8" s="531">
        <v>0.829</v>
      </c>
      <c r="L8" s="72"/>
      <c r="M8" s="72" t="s">
        <v>900</v>
      </c>
      <c r="N8" s="72"/>
      <c r="O8" s="72">
        <v>0.732</v>
      </c>
      <c r="P8" s="72"/>
      <c r="Q8" s="72"/>
      <c r="R8" s="72"/>
      <c r="S8" s="527"/>
      <c r="U8" s="72"/>
      <c r="V8" s="527"/>
      <c r="W8" s="527"/>
      <c r="X8" s="527"/>
      <c r="Y8" s="527" t="s">
        <v>901</v>
      </c>
      <c r="Z8" s="527" t="s">
        <v>902</v>
      </c>
      <c r="AA8" s="517">
        <v>0.571</v>
      </c>
      <c r="AB8" s="518" t="s">
        <v>903</v>
      </c>
      <c r="AC8" s="518">
        <v>0.118</v>
      </c>
      <c r="AD8" s="518" t="s">
        <v>904</v>
      </c>
      <c r="AE8" s="518"/>
      <c r="AF8" s="518"/>
      <c r="AG8" s="543"/>
      <c r="AH8" s="543"/>
      <c r="AI8" s="520"/>
      <c r="AJ8" s="529"/>
      <c r="AK8" s="530"/>
      <c r="AL8" s="527"/>
      <c r="AM8" s="531"/>
      <c r="AN8" s="72"/>
      <c r="AO8" s="531"/>
      <c r="AP8" s="72"/>
      <c r="AQ8" s="531"/>
      <c r="AR8" s="527"/>
      <c r="AS8" s="531"/>
      <c r="AT8" s="532"/>
      <c r="AU8" s="534"/>
      <c r="AV8" s="534"/>
      <c r="AW8" s="534"/>
      <c r="AX8" s="534"/>
      <c r="AY8" s="534"/>
      <c r="AZ8" s="534"/>
      <c r="BA8" s="535"/>
      <c r="BB8" s="510"/>
      <c r="BC8" s="510"/>
      <c r="BD8" s="543"/>
      <c r="BE8" s="543"/>
      <c r="BF8" s="644"/>
      <c r="BG8" s="645"/>
      <c r="BH8" s="645"/>
      <c r="BI8" s="645"/>
      <c r="BJ8" s="645"/>
      <c r="BK8" s="645"/>
      <c r="BL8" s="645"/>
      <c r="BM8" s="530"/>
      <c r="BN8" s="531"/>
      <c r="BO8" s="531"/>
      <c r="BP8" s="531"/>
      <c r="BQ8" s="531"/>
      <c r="BR8" s="531"/>
      <c r="BS8" s="531"/>
      <c r="BT8" s="531"/>
      <c r="BU8" s="531"/>
      <c r="BV8" s="646"/>
      <c r="BW8" s="508"/>
      <c r="BX8" s="508"/>
      <c r="BY8" s="508"/>
      <c r="BZ8" s="508"/>
      <c r="CA8" s="510"/>
      <c r="CB8" s="510"/>
      <c r="CC8" s="510"/>
      <c r="CD8" s="508"/>
      <c r="CE8" s="538"/>
      <c r="CF8" s="510"/>
      <c r="CG8" s="538"/>
      <c r="CH8" s="508"/>
      <c r="CI8" s="535"/>
      <c r="CJ8" s="539"/>
    </row>
    <row r="9">
      <c r="A9" s="513"/>
      <c r="B9" s="514" t="s">
        <v>1672</v>
      </c>
      <c r="C9" s="522">
        <v>0.85</v>
      </c>
      <c r="D9" s="72"/>
      <c r="E9" s="72" t="s">
        <v>905</v>
      </c>
      <c r="F9" s="72" t="s">
        <v>906</v>
      </c>
      <c r="G9" s="72">
        <v>0.247</v>
      </c>
      <c r="H9" s="72"/>
      <c r="I9" s="72" t="s">
        <v>907</v>
      </c>
      <c r="J9" s="72" t="s">
        <v>908</v>
      </c>
      <c r="K9" s="72">
        <v>0.778</v>
      </c>
      <c r="L9" s="72"/>
      <c r="M9" s="72" t="s">
        <v>909</v>
      </c>
      <c r="N9" s="72" t="s">
        <v>910</v>
      </c>
      <c r="O9" s="72">
        <v>0.635</v>
      </c>
      <c r="P9" s="72"/>
      <c r="Q9" s="72" t="s">
        <v>911</v>
      </c>
      <c r="R9" s="72" t="s">
        <v>912</v>
      </c>
      <c r="S9" s="527">
        <v>0.705</v>
      </c>
      <c r="U9" s="72" t="s">
        <v>913</v>
      </c>
      <c r="V9" s="527" t="s">
        <v>914</v>
      </c>
      <c r="W9" s="527"/>
      <c r="X9" s="527"/>
      <c r="Y9" s="527"/>
      <c r="Z9" s="527"/>
      <c r="AA9" s="517">
        <v>0.403</v>
      </c>
      <c r="AB9" s="518" t="s">
        <v>917</v>
      </c>
      <c r="AC9" s="518">
        <v>0.077</v>
      </c>
      <c r="AD9" s="518" t="s">
        <v>918</v>
      </c>
      <c r="AE9" s="518">
        <v>0.475</v>
      </c>
      <c r="AF9" s="518" t="s">
        <v>919</v>
      </c>
      <c r="AG9" s="543"/>
      <c r="AH9" s="543"/>
      <c r="AI9" s="520">
        <v>0.265</v>
      </c>
      <c r="AJ9" s="529" t="s">
        <v>921</v>
      </c>
      <c r="AK9" s="530"/>
      <c r="AL9" s="527" t="s">
        <v>922</v>
      </c>
      <c r="AM9" s="531"/>
      <c r="AN9" s="72" t="s">
        <v>923</v>
      </c>
      <c r="AO9" s="531"/>
      <c r="AP9" s="72" t="s">
        <v>924</v>
      </c>
      <c r="AQ9" s="531"/>
      <c r="AR9" s="527" t="s">
        <v>925</v>
      </c>
      <c r="AS9" s="531"/>
      <c r="AT9" s="532" t="s">
        <v>926</v>
      </c>
      <c r="AU9" s="534">
        <v>0.545</v>
      </c>
      <c r="AV9" s="534" t="s">
        <v>927</v>
      </c>
      <c r="AW9" s="534" t="s">
        <v>928</v>
      </c>
      <c r="AX9" s="534">
        <v>0.784</v>
      </c>
      <c r="AY9" s="534" t="s">
        <v>929</v>
      </c>
      <c r="AZ9" s="534" t="s">
        <v>930</v>
      </c>
      <c r="BA9" s="535">
        <v>0.581</v>
      </c>
      <c r="BB9" s="510" t="s">
        <v>931</v>
      </c>
      <c r="BC9" s="510" t="s">
        <v>932</v>
      </c>
      <c r="BD9" s="543"/>
      <c r="BE9" s="543"/>
      <c r="BF9" s="644"/>
      <c r="BG9" s="645"/>
      <c r="BH9" s="645"/>
      <c r="BI9" s="645"/>
      <c r="BJ9" s="645"/>
      <c r="BK9" s="645"/>
      <c r="BL9" s="645"/>
      <c r="BM9" s="530"/>
      <c r="BN9" s="531"/>
      <c r="BO9" s="531"/>
      <c r="BP9" s="531"/>
      <c r="BQ9" s="531"/>
      <c r="BR9" s="531"/>
      <c r="BS9" s="531"/>
      <c r="BT9" s="531"/>
      <c r="BU9" s="531"/>
      <c r="BV9" s="646"/>
      <c r="BW9" s="508" t="s">
        <v>934</v>
      </c>
      <c r="BX9" s="508" t="s">
        <v>935</v>
      </c>
      <c r="BY9" s="508" t="s">
        <v>936</v>
      </c>
      <c r="BZ9" s="508"/>
      <c r="CA9" s="510" t="s">
        <v>937</v>
      </c>
      <c r="CB9" s="510" t="s">
        <v>938</v>
      </c>
      <c r="CC9" s="510" t="s">
        <v>939</v>
      </c>
      <c r="CD9" s="508"/>
      <c r="CE9" s="538" t="s">
        <v>940</v>
      </c>
      <c r="CF9" s="510" t="s">
        <v>941</v>
      </c>
      <c r="CG9" s="538" t="s">
        <v>942</v>
      </c>
      <c r="CH9" s="508">
        <v>0.872</v>
      </c>
      <c r="CI9" s="535" t="s">
        <v>943</v>
      </c>
      <c r="CJ9" s="539" t="s">
        <v>944</v>
      </c>
    </row>
    <row r="10">
      <c r="A10" s="513"/>
      <c r="B10" s="514" t="s">
        <v>1673</v>
      </c>
      <c r="C10" s="522">
        <v>0.867</v>
      </c>
      <c r="D10" s="72"/>
      <c r="E10" s="72" t="s">
        <v>945</v>
      </c>
      <c r="F10" s="72" t="s">
        <v>946</v>
      </c>
      <c r="G10" s="72">
        <v>0.388</v>
      </c>
      <c r="H10" s="527"/>
      <c r="I10" s="527" t="s">
        <v>947</v>
      </c>
      <c r="J10" s="527" t="s">
        <v>948</v>
      </c>
      <c r="K10" s="72">
        <v>0.782</v>
      </c>
      <c r="L10" s="72"/>
      <c r="M10" s="72" t="s">
        <v>949</v>
      </c>
      <c r="N10" s="72" t="s">
        <v>950</v>
      </c>
      <c r="O10" s="72">
        <v>0.654</v>
      </c>
      <c r="P10" s="527"/>
      <c r="Q10" s="527" t="s">
        <v>951</v>
      </c>
      <c r="R10" s="527" t="s">
        <v>952</v>
      </c>
      <c r="S10" s="72">
        <v>0.899</v>
      </c>
      <c r="T10" s="72"/>
      <c r="U10" s="72" t="s">
        <v>953</v>
      </c>
      <c r="V10" s="527" t="s">
        <v>952</v>
      </c>
      <c r="W10" s="527"/>
      <c r="X10" s="527"/>
      <c r="Y10" s="527"/>
      <c r="Z10" s="527"/>
      <c r="AA10" s="517">
        <v>0.467</v>
      </c>
      <c r="AB10" s="224" t="s">
        <v>956</v>
      </c>
      <c r="AC10" s="518">
        <v>0.106</v>
      </c>
      <c r="AD10" s="518" t="s">
        <v>957</v>
      </c>
      <c r="AE10" s="518">
        <v>0.541</v>
      </c>
      <c r="AF10" s="518" t="s">
        <v>826</v>
      </c>
      <c r="AG10" s="518"/>
      <c r="AH10" s="518"/>
      <c r="AI10" s="520">
        <v>0.43</v>
      </c>
      <c r="AJ10" s="521" t="s">
        <v>959</v>
      </c>
      <c r="AK10" s="522"/>
      <c r="AL10" s="72" t="s">
        <v>960</v>
      </c>
      <c r="AM10" s="72"/>
      <c r="AN10" s="72" t="s">
        <v>961</v>
      </c>
      <c r="AO10" s="72"/>
      <c r="AP10" s="224" t="s">
        <v>962</v>
      </c>
      <c r="AQ10" s="72"/>
      <c r="AR10" s="72" t="s">
        <v>963</v>
      </c>
      <c r="AS10" s="72"/>
      <c r="AT10" s="540" t="s">
        <v>964</v>
      </c>
      <c r="AU10" s="522" t="s">
        <v>245</v>
      </c>
      <c r="AV10" s="527" t="s">
        <v>965</v>
      </c>
      <c r="AW10" s="527" t="s">
        <v>966</v>
      </c>
      <c r="AX10" s="541" t="s">
        <v>1674</v>
      </c>
      <c r="AY10" s="531" t="s">
        <v>1675</v>
      </c>
      <c r="AZ10" s="72" t="s">
        <v>969</v>
      </c>
      <c r="BA10" s="518" t="s">
        <v>970</v>
      </c>
      <c r="BB10" s="72" t="s">
        <v>971</v>
      </c>
      <c r="BC10" s="531" t="s">
        <v>1676</v>
      </c>
      <c r="BD10" s="518"/>
      <c r="BE10" s="518"/>
      <c r="BF10" s="521"/>
      <c r="BG10" s="642"/>
      <c r="BH10" s="642"/>
      <c r="BI10" s="642"/>
      <c r="BJ10" s="642"/>
      <c r="BK10" s="642"/>
      <c r="BL10" s="642"/>
      <c r="BM10" s="522"/>
      <c r="BN10" s="72"/>
      <c r="BO10" s="72"/>
      <c r="BP10" s="72"/>
      <c r="BQ10" s="72"/>
      <c r="BR10" s="72"/>
      <c r="BS10" s="72"/>
      <c r="BT10" s="72"/>
      <c r="BU10" s="72"/>
      <c r="BV10" s="517"/>
      <c r="BW10" s="508" t="s">
        <v>974</v>
      </c>
      <c r="BX10" s="508" t="s">
        <v>975</v>
      </c>
      <c r="BY10" s="508" t="s">
        <v>976</v>
      </c>
      <c r="BZ10" s="508"/>
      <c r="CA10" s="510" t="s">
        <v>977</v>
      </c>
      <c r="CB10" s="510" t="s">
        <v>978</v>
      </c>
      <c r="CC10" s="510" t="s">
        <v>979</v>
      </c>
      <c r="CD10" s="508"/>
      <c r="CE10" s="510" t="s">
        <v>980</v>
      </c>
      <c r="CF10" s="510" t="s">
        <v>981</v>
      </c>
      <c r="CG10" s="510" t="s">
        <v>982</v>
      </c>
      <c r="CH10" s="508">
        <v>0.981</v>
      </c>
      <c r="CI10" s="508" t="s">
        <v>983</v>
      </c>
      <c r="CJ10" s="526" t="s">
        <v>984</v>
      </c>
    </row>
    <row r="11">
      <c r="A11" s="513"/>
      <c r="B11" s="514" t="s">
        <v>261</v>
      </c>
      <c r="C11" s="522">
        <v>0.852</v>
      </c>
      <c r="D11" s="527"/>
      <c r="E11" s="527" t="s">
        <v>985</v>
      </c>
      <c r="F11" s="527" t="s">
        <v>986</v>
      </c>
      <c r="G11" s="72">
        <v>0.318</v>
      </c>
      <c r="H11" s="527"/>
      <c r="I11" s="527" t="s">
        <v>987</v>
      </c>
      <c r="J11" s="527" t="s">
        <v>988</v>
      </c>
      <c r="K11" s="72">
        <v>0.769</v>
      </c>
      <c r="L11" s="72"/>
      <c r="M11" s="72" t="s">
        <v>989</v>
      </c>
      <c r="N11" s="72" t="s">
        <v>990</v>
      </c>
      <c r="O11" s="72">
        <v>0.6615</v>
      </c>
      <c r="P11" s="72"/>
      <c r="Q11" s="72" t="s">
        <v>991</v>
      </c>
      <c r="R11" s="72" t="s">
        <v>992</v>
      </c>
      <c r="S11" s="72">
        <v>0.77</v>
      </c>
      <c r="T11" s="72"/>
      <c r="U11" s="72" t="s">
        <v>993</v>
      </c>
      <c r="V11" s="527" t="s">
        <v>994</v>
      </c>
      <c r="W11" s="527"/>
      <c r="X11" s="527"/>
      <c r="Y11" s="527"/>
      <c r="Z11" s="527"/>
      <c r="AA11" s="517">
        <v>0.465</v>
      </c>
      <c r="AB11" s="518" t="s">
        <v>997</v>
      </c>
      <c r="AC11" s="518">
        <v>0.111</v>
      </c>
      <c r="AD11" s="518"/>
      <c r="AE11" s="518">
        <v>0.472</v>
      </c>
      <c r="AF11" s="518" t="s">
        <v>998</v>
      </c>
      <c r="AG11" s="518"/>
      <c r="AH11" s="518" t="s">
        <v>999</v>
      </c>
      <c r="AI11" s="520">
        <v>0.309</v>
      </c>
      <c r="AJ11" s="521" t="s">
        <v>1000</v>
      </c>
      <c r="AK11" s="517">
        <v>0.146</v>
      </c>
      <c r="AL11" s="72" t="s">
        <v>1001</v>
      </c>
      <c r="AM11" s="72"/>
      <c r="AN11" s="72" t="s">
        <v>1002</v>
      </c>
      <c r="AO11" s="72"/>
      <c r="AP11" s="72" t="s">
        <v>1003</v>
      </c>
      <c r="AQ11" s="72"/>
      <c r="AR11" s="72" t="s">
        <v>1004</v>
      </c>
      <c r="AS11" s="72"/>
      <c r="AT11" s="540" t="s">
        <v>1005</v>
      </c>
      <c r="AU11" s="522"/>
      <c r="AV11" s="72" t="s">
        <v>1008</v>
      </c>
      <c r="AW11" s="72" t="s">
        <v>1007</v>
      </c>
      <c r="AX11" s="72"/>
      <c r="AY11" s="72" t="s">
        <v>1677</v>
      </c>
      <c r="AZ11" s="72" t="s">
        <v>1677</v>
      </c>
      <c r="BA11" s="518"/>
      <c r="BB11" s="72" t="s">
        <v>1010</v>
      </c>
      <c r="BC11" s="72" t="s">
        <v>1011</v>
      </c>
      <c r="BD11" s="518"/>
      <c r="BE11" s="518"/>
      <c r="BF11" s="521"/>
      <c r="BG11" s="642"/>
      <c r="BH11" s="642"/>
      <c r="BI11" s="642"/>
      <c r="BJ11" s="642"/>
      <c r="BK11" s="642"/>
      <c r="BL11" s="642"/>
      <c r="BM11" s="522"/>
      <c r="BN11" s="72"/>
      <c r="BO11" s="72"/>
      <c r="BP11" s="72"/>
      <c r="BQ11" s="72"/>
      <c r="BR11" s="72"/>
      <c r="BS11" s="72"/>
      <c r="BT11" s="72"/>
      <c r="BU11" s="72"/>
      <c r="BV11" s="517"/>
      <c r="BW11" s="518"/>
      <c r="BX11" s="518"/>
      <c r="BY11" s="518"/>
      <c r="BZ11" s="518"/>
      <c r="CA11" s="72" t="s">
        <v>1015</v>
      </c>
      <c r="CB11" s="72"/>
      <c r="CC11" s="72" t="s">
        <v>1017</v>
      </c>
      <c r="CD11" s="518"/>
      <c r="CE11" s="72" t="s">
        <v>1018</v>
      </c>
      <c r="CF11" s="72"/>
      <c r="CG11" s="72" t="s">
        <v>1020</v>
      </c>
      <c r="CH11" s="518"/>
      <c r="CI11" s="518"/>
      <c r="CJ11" s="521"/>
    </row>
    <row r="12" hidden="1">
      <c r="A12" s="513"/>
      <c r="B12" s="647" t="s">
        <v>1678</v>
      </c>
      <c r="C12" s="25"/>
      <c r="D12" s="527"/>
      <c r="E12" s="527" t="s">
        <v>1679</v>
      </c>
      <c r="F12" s="527"/>
      <c r="G12" s="72" t="s">
        <v>1142</v>
      </c>
      <c r="H12" s="527"/>
      <c r="I12" s="527" t="s">
        <v>1680</v>
      </c>
      <c r="J12" s="527"/>
      <c r="K12" s="72"/>
      <c r="L12" s="72"/>
      <c r="M12" s="72"/>
      <c r="N12" s="72"/>
      <c r="O12" s="72"/>
      <c r="P12" s="72"/>
      <c r="Q12" s="72" t="s">
        <v>1681</v>
      </c>
      <c r="R12" s="72"/>
      <c r="S12" s="26"/>
      <c r="T12" s="72"/>
      <c r="U12" s="72" t="s">
        <v>1682</v>
      </c>
      <c r="V12" s="527"/>
      <c r="W12" s="527"/>
      <c r="X12" s="527"/>
      <c r="Y12" s="527"/>
      <c r="Z12" s="527"/>
      <c r="AA12" s="517">
        <v>0.344</v>
      </c>
      <c r="AB12" s="591"/>
      <c r="AC12" s="591"/>
      <c r="AD12" s="591"/>
      <c r="AE12" s="591"/>
      <c r="AF12" s="518" t="s">
        <v>1683</v>
      </c>
      <c r="AG12" s="591"/>
      <c r="AH12" s="591"/>
      <c r="AI12" s="648"/>
      <c r="AJ12" s="649"/>
      <c r="AK12" s="25"/>
      <c r="AL12" s="26"/>
      <c r="AM12" s="26"/>
      <c r="AN12" s="26"/>
      <c r="AO12" s="26"/>
      <c r="AP12" s="26"/>
      <c r="AQ12" s="26"/>
      <c r="AR12" s="26"/>
      <c r="AS12" s="26"/>
      <c r="AT12" s="540"/>
      <c r="AU12" s="522" t="s">
        <v>1684</v>
      </c>
      <c r="AV12" s="72" t="s">
        <v>1685</v>
      </c>
      <c r="AW12" s="72" t="s">
        <v>1686</v>
      </c>
      <c r="AX12" s="72" t="s">
        <v>1687</v>
      </c>
      <c r="AY12" s="72" t="s">
        <v>1688</v>
      </c>
      <c r="AZ12" s="72" t="s">
        <v>1689</v>
      </c>
      <c r="BA12" s="518">
        <v>0.611</v>
      </c>
      <c r="BB12" s="72" t="s">
        <v>1690</v>
      </c>
      <c r="BC12" s="72" t="s">
        <v>1691</v>
      </c>
      <c r="BD12" s="591"/>
      <c r="BE12" s="591"/>
      <c r="BF12" s="649"/>
      <c r="BG12" s="650"/>
      <c r="BH12" s="650"/>
      <c r="BI12" s="650"/>
      <c r="BJ12" s="650"/>
      <c r="BK12" s="650"/>
      <c r="BL12" s="650"/>
      <c r="BM12" s="25"/>
      <c r="BN12" s="26"/>
      <c r="BO12" s="26"/>
      <c r="BP12" s="26"/>
      <c r="BQ12" s="26"/>
      <c r="BR12" s="26"/>
      <c r="BS12" s="26"/>
      <c r="BT12" s="26"/>
      <c r="BU12" s="26"/>
      <c r="BV12" s="651"/>
      <c r="BW12" s="591"/>
      <c r="BX12" s="591"/>
      <c r="BY12" s="591"/>
      <c r="BZ12" s="591"/>
      <c r="CA12" s="72" t="s">
        <v>1692</v>
      </c>
      <c r="CB12" s="72"/>
      <c r="CC12" s="72" t="s">
        <v>1693</v>
      </c>
      <c r="CD12" s="518"/>
      <c r="CE12" s="72" t="s">
        <v>1694</v>
      </c>
      <c r="CF12" s="72"/>
      <c r="CG12" s="72" t="s">
        <v>1695</v>
      </c>
      <c r="CH12" s="591"/>
      <c r="CI12" s="591"/>
      <c r="CJ12" s="649"/>
    </row>
    <row r="13">
      <c r="A13" s="513"/>
      <c r="B13" s="514" t="s">
        <v>305</v>
      </c>
      <c r="C13" s="530">
        <v>0.926</v>
      </c>
      <c r="D13" s="72">
        <v>0.92</v>
      </c>
      <c r="E13" s="72" t="s">
        <v>1023</v>
      </c>
      <c r="F13" s="72" t="s">
        <v>1024</v>
      </c>
      <c r="G13" s="72">
        <v>0.58</v>
      </c>
      <c r="H13" s="527">
        <v>0.779</v>
      </c>
      <c r="I13" s="527" t="s">
        <v>1025</v>
      </c>
      <c r="J13" s="527" t="s">
        <v>1026</v>
      </c>
      <c r="K13" s="72">
        <v>0.804</v>
      </c>
      <c r="L13" s="72">
        <v>0.828</v>
      </c>
      <c r="M13" s="531" t="s">
        <v>1696</v>
      </c>
      <c r="N13" s="72" t="s">
        <v>1028</v>
      </c>
      <c r="O13" s="531">
        <v>0.72</v>
      </c>
      <c r="P13" s="531">
        <v>0.771</v>
      </c>
      <c r="Q13" s="531" t="s">
        <v>1697</v>
      </c>
      <c r="R13" s="527" t="s">
        <v>1030</v>
      </c>
      <c r="S13" s="72">
        <v>0.885</v>
      </c>
      <c r="T13" s="72">
        <v>0.958</v>
      </c>
      <c r="U13" s="72" t="s">
        <v>1031</v>
      </c>
      <c r="V13" s="527" t="s">
        <v>1032</v>
      </c>
      <c r="W13" s="527"/>
      <c r="X13" s="527"/>
      <c r="Y13" s="527"/>
      <c r="Z13" s="527"/>
      <c r="AA13" s="517">
        <v>0.601</v>
      </c>
      <c r="AB13" s="543" t="s">
        <v>1698</v>
      </c>
      <c r="AC13" s="518">
        <v>0.124</v>
      </c>
      <c r="AD13" s="518" t="s">
        <v>1035</v>
      </c>
      <c r="AE13" s="543">
        <v>0.596</v>
      </c>
      <c r="AF13" s="518" t="s">
        <v>1036</v>
      </c>
      <c r="AG13" s="518"/>
      <c r="AH13" s="518"/>
      <c r="AI13" s="520">
        <v>0.447</v>
      </c>
      <c r="AJ13" s="521" t="s">
        <v>1038</v>
      </c>
      <c r="AK13" s="522"/>
      <c r="AL13" s="531" t="s">
        <v>1699</v>
      </c>
      <c r="AM13" s="72"/>
      <c r="AN13" s="531" t="s">
        <v>1040</v>
      </c>
      <c r="AO13" s="72"/>
      <c r="AP13" s="531" t="s">
        <v>1700</v>
      </c>
      <c r="AQ13" s="72"/>
      <c r="AR13" s="72" t="s">
        <v>1042</v>
      </c>
      <c r="AS13" s="72"/>
      <c r="AT13" s="146" t="s">
        <v>1043</v>
      </c>
      <c r="AU13" s="72">
        <v>0.885</v>
      </c>
      <c r="AV13" s="531" t="s">
        <v>1701</v>
      </c>
      <c r="AW13" s="72" t="s">
        <v>1045</v>
      </c>
      <c r="AX13" s="72">
        <v>0.916</v>
      </c>
      <c r="AY13" s="72" t="s">
        <v>1046</v>
      </c>
      <c r="AZ13" s="72" t="s">
        <v>1702</v>
      </c>
      <c r="BA13" s="518">
        <v>1.0</v>
      </c>
      <c r="BB13" s="531" t="s">
        <v>1703</v>
      </c>
      <c r="BC13" s="72" t="s">
        <v>1049</v>
      </c>
      <c r="BD13" s="518"/>
      <c r="BE13" s="518" t="s">
        <v>1704</v>
      </c>
      <c r="BF13" s="146" t="s">
        <v>1705</v>
      </c>
      <c r="BG13" s="642"/>
      <c r="BH13" s="642"/>
      <c r="BI13" s="642"/>
      <c r="BJ13" s="642"/>
      <c r="BK13" s="642"/>
      <c r="BL13" s="642"/>
      <c r="BM13" s="522"/>
      <c r="BN13" s="72"/>
      <c r="BO13" s="72"/>
      <c r="BP13" s="72"/>
      <c r="BQ13" s="72"/>
      <c r="BR13" s="72"/>
      <c r="BS13" s="72"/>
      <c r="BT13" s="72"/>
      <c r="BU13" s="72"/>
      <c r="BV13" s="517"/>
      <c r="BW13" s="652" t="s">
        <v>1706</v>
      </c>
      <c r="BX13" s="546" t="s">
        <v>1052</v>
      </c>
      <c r="BY13" s="535" t="s">
        <v>1053</v>
      </c>
      <c r="BZ13" s="508"/>
      <c r="CA13" s="510" t="s">
        <v>1054</v>
      </c>
      <c r="CB13" s="510" t="s">
        <v>1055</v>
      </c>
      <c r="CC13" s="510" t="s">
        <v>1056</v>
      </c>
      <c r="CD13" s="508"/>
      <c r="CE13" s="538" t="s">
        <v>1057</v>
      </c>
      <c r="CF13" s="510" t="s">
        <v>1058</v>
      </c>
      <c r="CG13" s="538" t="s">
        <v>1059</v>
      </c>
      <c r="CH13" s="508">
        <v>0.984</v>
      </c>
      <c r="CI13" s="508" t="s">
        <v>1060</v>
      </c>
      <c r="CJ13" s="526" t="s">
        <v>1061</v>
      </c>
    </row>
    <row r="14">
      <c r="A14" s="513"/>
      <c r="B14" s="647" t="s">
        <v>345</v>
      </c>
      <c r="C14" s="530"/>
      <c r="D14" s="72"/>
      <c r="E14" s="72" t="s">
        <v>1062</v>
      </c>
      <c r="F14" s="531"/>
      <c r="G14" s="72"/>
      <c r="H14" s="527"/>
      <c r="I14" s="527" t="s">
        <v>1064</v>
      </c>
      <c r="J14" s="527"/>
      <c r="K14" s="531"/>
      <c r="L14" s="531"/>
      <c r="M14" s="531" t="s">
        <v>1707</v>
      </c>
      <c r="N14" s="531"/>
      <c r="O14" s="531"/>
      <c r="P14" s="531"/>
      <c r="Q14" s="531" t="s">
        <v>1708</v>
      </c>
      <c r="R14" s="531"/>
      <c r="S14" s="72">
        <v>0.885</v>
      </c>
      <c r="T14" s="72"/>
      <c r="U14" s="72" t="s">
        <v>1070</v>
      </c>
      <c r="V14" s="527"/>
      <c r="W14" s="527"/>
      <c r="X14" s="527"/>
      <c r="Y14" s="527"/>
      <c r="Z14" s="527"/>
      <c r="AA14" s="517">
        <v>0.648</v>
      </c>
      <c r="AB14" s="518"/>
      <c r="AC14" s="518"/>
      <c r="AD14" s="518" t="s">
        <v>1075</v>
      </c>
      <c r="AE14" s="518">
        <v>0.431</v>
      </c>
      <c r="AF14" s="518" t="s">
        <v>1076</v>
      </c>
      <c r="AG14" s="518">
        <v>0.279</v>
      </c>
      <c r="AH14" s="518" t="s">
        <v>1077</v>
      </c>
      <c r="AI14" s="520"/>
      <c r="AJ14" s="521" t="s">
        <v>1078</v>
      </c>
      <c r="AK14" s="522"/>
      <c r="AL14" s="531"/>
      <c r="AM14" s="72"/>
      <c r="AN14" s="531"/>
      <c r="AO14" s="72"/>
      <c r="AP14" s="531"/>
      <c r="AQ14" s="72"/>
      <c r="AR14" s="531"/>
      <c r="AS14" s="72"/>
      <c r="AT14" s="146"/>
      <c r="AU14" s="72"/>
      <c r="AV14" s="531"/>
      <c r="AW14" s="531"/>
      <c r="AX14" s="72"/>
      <c r="AY14" s="72"/>
      <c r="AZ14" s="72"/>
      <c r="BA14" s="518"/>
      <c r="BB14" s="531"/>
      <c r="BC14" s="72"/>
      <c r="BD14" s="518"/>
      <c r="BE14" s="518"/>
      <c r="BF14" s="521"/>
      <c r="BG14" s="642"/>
      <c r="BH14" s="642"/>
      <c r="BI14" s="642"/>
      <c r="BJ14" s="642"/>
      <c r="BK14" s="642"/>
      <c r="BL14" s="642"/>
      <c r="BM14" s="522"/>
      <c r="BN14" s="72"/>
      <c r="BO14" s="72"/>
      <c r="BP14" s="72"/>
      <c r="BQ14" s="72"/>
      <c r="BR14" s="72"/>
      <c r="BS14" s="72"/>
      <c r="BT14" s="72"/>
      <c r="BU14" s="72"/>
      <c r="BV14" s="517"/>
      <c r="BW14" s="546"/>
      <c r="BX14" s="546"/>
      <c r="BY14" s="508"/>
      <c r="BZ14" s="508"/>
      <c r="CA14" s="510"/>
      <c r="CB14" s="510"/>
      <c r="CC14" s="510"/>
      <c r="CD14" s="508"/>
      <c r="CE14" s="510"/>
      <c r="CF14" s="510"/>
      <c r="CG14" s="510"/>
      <c r="CH14" s="508"/>
      <c r="CI14" s="508"/>
      <c r="CJ14" s="526"/>
    </row>
    <row r="15" hidden="1">
      <c r="A15" s="513"/>
      <c r="B15" s="514" t="s">
        <v>1709</v>
      </c>
      <c r="C15" s="530"/>
      <c r="D15" s="72"/>
      <c r="E15" s="72"/>
      <c r="F15" s="531"/>
      <c r="G15" s="72"/>
      <c r="H15" s="527"/>
      <c r="I15" s="527"/>
      <c r="J15" s="527"/>
      <c r="K15" s="531"/>
      <c r="L15" s="531"/>
      <c r="M15" s="531"/>
      <c r="N15" s="531"/>
      <c r="O15" s="531"/>
      <c r="P15" s="72"/>
      <c r="Q15" s="72" t="s">
        <v>1107</v>
      </c>
      <c r="R15" s="531"/>
      <c r="S15" s="72"/>
      <c r="T15" s="531"/>
      <c r="U15" s="531" t="s">
        <v>1710</v>
      </c>
      <c r="V15" s="527" t="s">
        <v>1110</v>
      </c>
      <c r="W15" s="527"/>
      <c r="X15" s="527"/>
      <c r="Y15" s="527"/>
      <c r="Z15" s="527"/>
      <c r="AA15" s="517"/>
      <c r="AB15" s="518"/>
      <c r="AC15" s="518"/>
      <c r="AD15" s="518"/>
      <c r="AE15" s="518"/>
      <c r="AF15" s="518"/>
      <c r="AG15" s="518"/>
      <c r="AH15" s="518"/>
      <c r="AI15" s="520"/>
      <c r="AJ15" s="521"/>
      <c r="AK15" s="522"/>
      <c r="AL15" s="531"/>
      <c r="AM15" s="72"/>
      <c r="AN15" s="531"/>
      <c r="AO15" s="72"/>
      <c r="AP15" s="531"/>
      <c r="AQ15" s="72"/>
      <c r="AR15" s="531"/>
      <c r="AS15" s="72"/>
      <c r="AT15" s="146"/>
      <c r="AU15" s="72"/>
      <c r="AV15" s="531"/>
      <c r="AW15" s="531"/>
      <c r="AX15" s="531"/>
      <c r="AY15" s="72"/>
      <c r="AZ15" s="72"/>
      <c r="BA15" s="518"/>
      <c r="BB15" s="531"/>
      <c r="BC15" s="72"/>
      <c r="BD15" s="518"/>
      <c r="BE15" s="518"/>
      <c r="BF15" s="521"/>
      <c r="BG15" s="642"/>
      <c r="BH15" s="642"/>
      <c r="BI15" s="642"/>
      <c r="BJ15" s="642"/>
      <c r="BK15" s="642"/>
      <c r="BL15" s="642"/>
      <c r="BM15" s="522"/>
      <c r="BN15" s="72"/>
      <c r="BO15" s="72"/>
      <c r="BP15" s="72"/>
      <c r="BQ15" s="72"/>
      <c r="BR15" s="72"/>
      <c r="BS15" s="72"/>
      <c r="BT15" s="72"/>
      <c r="BU15" s="72"/>
      <c r="BV15" s="517"/>
      <c r="BW15" s="546"/>
      <c r="BX15" s="546"/>
      <c r="BY15" s="508"/>
      <c r="BZ15" s="508"/>
      <c r="CA15" s="510"/>
      <c r="CB15" s="510"/>
      <c r="CC15" s="510"/>
      <c r="CD15" s="508"/>
      <c r="CE15" s="510"/>
      <c r="CF15" s="510"/>
      <c r="CG15" s="510"/>
      <c r="CH15" s="508"/>
      <c r="CI15" s="508"/>
      <c r="CJ15" s="526"/>
    </row>
    <row r="16">
      <c r="A16" s="560"/>
      <c r="B16" s="561" t="s">
        <v>377</v>
      </c>
      <c r="C16" s="562">
        <v>0.831</v>
      </c>
      <c r="D16" s="563"/>
      <c r="E16" s="563" t="s">
        <v>1101</v>
      </c>
      <c r="F16" s="563" t="s">
        <v>1102</v>
      </c>
      <c r="G16" s="563">
        <v>0.792</v>
      </c>
      <c r="H16" s="563"/>
      <c r="I16" s="563" t="s">
        <v>1103</v>
      </c>
      <c r="J16" s="564" t="s">
        <v>1104</v>
      </c>
      <c r="K16" s="563">
        <v>0.628</v>
      </c>
      <c r="L16" s="563"/>
      <c r="M16" s="563" t="s">
        <v>1105</v>
      </c>
      <c r="N16" s="563" t="s">
        <v>1106</v>
      </c>
      <c r="O16" s="563">
        <v>0.605</v>
      </c>
      <c r="P16" s="564"/>
      <c r="Q16" s="564" t="s">
        <v>1107</v>
      </c>
      <c r="R16" s="564" t="s">
        <v>1108</v>
      </c>
      <c r="S16" s="563">
        <v>0.928</v>
      </c>
      <c r="T16" s="565"/>
      <c r="U16" s="565" t="s">
        <v>1711</v>
      </c>
      <c r="V16" s="563" t="s">
        <v>1110</v>
      </c>
      <c r="W16" s="563"/>
      <c r="X16" s="563"/>
      <c r="Y16" s="563"/>
      <c r="Z16" s="563"/>
      <c r="AA16" s="567">
        <v>0.61</v>
      </c>
      <c r="AB16" s="568" t="s">
        <v>1113</v>
      </c>
      <c r="AC16" s="569">
        <v>0.149</v>
      </c>
      <c r="AD16" s="568" t="s">
        <v>1712</v>
      </c>
      <c r="AE16" s="568">
        <v>0.464</v>
      </c>
      <c r="AF16" s="568" t="s">
        <v>1115</v>
      </c>
      <c r="AG16" s="568"/>
      <c r="AH16" s="568"/>
      <c r="AI16" s="571">
        <v>0.365</v>
      </c>
      <c r="AJ16" s="572" t="s">
        <v>1117</v>
      </c>
      <c r="AK16" s="562"/>
      <c r="AL16" s="563" t="s">
        <v>1118</v>
      </c>
      <c r="AM16" s="563"/>
      <c r="AN16" s="563" t="s">
        <v>1119</v>
      </c>
      <c r="AO16" s="563"/>
      <c r="AP16" s="563" t="s">
        <v>1713</v>
      </c>
      <c r="AQ16" s="563"/>
      <c r="AR16" s="563" t="s">
        <v>1121</v>
      </c>
      <c r="AS16" s="563"/>
      <c r="AT16" s="573" t="s">
        <v>1083</v>
      </c>
      <c r="AU16" s="562">
        <v>0.912</v>
      </c>
      <c r="AV16" s="563" t="s">
        <v>1122</v>
      </c>
      <c r="AW16" s="563" t="s">
        <v>1123</v>
      </c>
      <c r="AX16" s="563">
        <v>0.918</v>
      </c>
      <c r="AY16" s="563" t="s">
        <v>1124</v>
      </c>
      <c r="AZ16" s="563" t="s">
        <v>1125</v>
      </c>
      <c r="BA16" s="568"/>
      <c r="BB16" s="563" t="s">
        <v>1714</v>
      </c>
      <c r="BC16" s="563" t="s">
        <v>1715</v>
      </c>
      <c r="BD16" s="568"/>
      <c r="BE16" s="568"/>
      <c r="BF16" s="572"/>
      <c r="BG16" s="653"/>
      <c r="BH16" s="653"/>
      <c r="BI16" s="653"/>
      <c r="BJ16" s="653"/>
      <c r="BK16" s="653"/>
      <c r="BL16" s="653"/>
      <c r="BM16" s="562"/>
      <c r="BN16" s="563"/>
      <c r="BO16" s="563"/>
      <c r="BP16" s="563"/>
      <c r="BQ16" s="563"/>
      <c r="BR16" s="563"/>
      <c r="BS16" s="563"/>
      <c r="BT16" s="563"/>
      <c r="BU16" s="563"/>
      <c r="BV16" s="517"/>
      <c r="BW16" s="576" t="s">
        <v>1129</v>
      </c>
      <c r="BX16" s="576" t="s">
        <v>1130</v>
      </c>
      <c r="BY16" s="576" t="s">
        <v>1131</v>
      </c>
      <c r="BZ16" s="576"/>
      <c r="CA16" s="577" t="s">
        <v>1132</v>
      </c>
      <c r="CB16" s="578" t="s">
        <v>1133</v>
      </c>
      <c r="CC16" s="577" t="s">
        <v>1134</v>
      </c>
      <c r="CD16" s="576"/>
      <c r="CE16" s="577" t="s">
        <v>1135</v>
      </c>
      <c r="CF16" s="577" t="s">
        <v>1136</v>
      </c>
      <c r="CG16" s="577" t="s">
        <v>1137</v>
      </c>
      <c r="CH16" s="576">
        <v>0.973</v>
      </c>
      <c r="CI16" s="576" t="s">
        <v>1138</v>
      </c>
      <c r="CJ16" s="579" t="s">
        <v>1139</v>
      </c>
    </row>
    <row r="17" hidden="1">
      <c r="A17" s="496"/>
      <c r="B17" s="496" t="s">
        <v>1140</v>
      </c>
      <c r="C17" s="505">
        <v>0.832</v>
      </c>
      <c r="D17" s="457"/>
      <c r="E17" s="457" t="s">
        <v>1141</v>
      </c>
      <c r="F17" s="457"/>
      <c r="G17" s="457" t="s">
        <v>1142</v>
      </c>
      <c r="H17" s="457"/>
      <c r="I17" s="457" t="s">
        <v>1143</v>
      </c>
      <c r="J17" s="457"/>
      <c r="K17" s="457">
        <v>0.679</v>
      </c>
      <c r="L17" s="457"/>
      <c r="M17" s="457" t="s">
        <v>1144</v>
      </c>
      <c r="N17" s="457"/>
      <c r="O17" s="457">
        <v>0.462</v>
      </c>
      <c r="P17" s="457"/>
      <c r="Q17" s="457" t="s">
        <v>1145</v>
      </c>
      <c r="R17" s="457"/>
      <c r="S17" s="580">
        <v>0.914</v>
      </c>
      <c r="T17" s="457"/>
      <c r="U17" s="457" t="s">
        <v>1146</v>
      </c>
      <c r="V17" s="457"/>
      <c r="W17" s="72"/>
      <c r="X17" s="457"/>
      <c r="Y17" s="457"/>
      <c r="Z17" s="457"/>
      <c r="AA17" s="581">
        <v>0.403</v>
      </c>
      <c r="AB17" s="507" t="s">
        <v>1147</v>
      </c>
      <c r="AC17" s="582"/>
      <c r="AD17" s="507" t="s">
        <v>1148</v>
      </c>
      <c r="AE17" s="582"/>
      <c r="AF17" s="583" t="s">
        <v>1149</v>
      </c>
      <c r="AG17" s="582"/>
      <c r="AH17" s="583" t="s">
        <v>1150</v>
      </c>
      <c r="AI17" s="584"/>
      <c r="AJ17" s="490" t="s">
        <v>1151</v>
      </c>
      <c r="AK17" s="586"/>
      <c r="AL17" s="587" t="s">
        <v>1152</v>
      </c>
      <c r="AM17" s="580"/>
      <c r="AN17" s="580"/>
      <c r="AO17" s="580"/>
      <c r="AP17" s="580"/>
      <c r="AQ17" s="580"/>
      <c r="AR17" s="580"/>
      <c r="AS17" s="580"/>
      <c r="AU17" s="505" t="s">
        <v>1153</v>
      </c>
      <c r="AV17" s="72" t="s">
        <v>1154</v>
      </c>
      <c r="AW17" s="457" t="s">
        <v>1155</v>
      </c>
      <c r="AX17" s="587" t="s">
        <v>1156</v>
      </c>
      <c r="AY17" s="587" t="s">
        <v>1157</v>
      </c>
      <c r="AZ17" s="587" t="s">
        <v>1158</v>
      </c>
      <c r="BA17" s="582">
        <v>1.0</v>
      </c>
      <c r="BB17" s="587" t="s">
        <v>1159</v>
      </c>
      <c r="BC17" s="587" t="s">
        <v>1160</v>
      </c>
      <c r="BD17" s="582"/>
      <c r="BE17" s="583"/>
      <c r="BF17" s="654"/>
      <c r="BG17" s="655"/>
      <c r="BH17" s="655"/>
      <c r="BI17" s="637"/>
      <c r="BJ17" s="637"/>
      <c r="BK17" s="637"/>
      <c r="BL17" s="637"/>
      <c r="BM17" s="656" t="s">
        <v>1716</v>
      </c>
      <c r="BN17" s="457" t="s">
        <v>1717</v>
      </c>
      <c r="BO17" s="457" t="s">
        <v>1718</v>
      </c>
      <c r="BP17" s="580"/>
      <c r="BQ17" s="587"/>
      <c r="BR17" s="587"/>
      <c r="BS17" s="580"/>
      <c r="BT17" s="587"/>
      <c r="BU17" s="587"/>
      <c r="BV17" s="657">
        <v>0.28</v>
      </c>
      <c r="BW17" s="589" t="s">
        <v>250</v>
      </c>
      <c r="BX17" s="583"/>
      <c r="BY17" s="583" t="s">
        <v>1161</v>
      </c>
      <c r="BZ17" s="583" t="s">
        <v>1719</v>
      </c>
      <c r="CA17" s="587" t="s">
        <v>1162</v>
      </c>
      <c r="CB17" s="587"/>
      <c r="CC17" s="587" t="s">
        <v>1163</v>
      </c>
      <c r="CD17" s="583"/>
      <c r="CE17" s="587" t="s">
        <v>1164</v>
      </c>
      <c r="CF17" s="587"/>
      <c r="CG17" s="587" t="s">
        <v>1165</v>
      </c>
      <c r="CH17" s="582"/>
      <c r="CI17" s="582"/>
      <c r="CJ17" s="585"/>
    </row>
    <row r="18" hidden="1">
      <c r="A18" s="590"/>
      <c r="B18" s="514" t="s">
        <v>1166</v>
      </c>
      <c r="C18" s="522"/>
      <c r="D18" s="531"/>
      <c r="E18" s="531"/>
      <c r="F18" s="531"/>
      <c r="G18" s="72"/>
      <c r="H18" s="531"/>
      <c r="I18" s="531"/>
      <c r="J18" s="531"/>
      <c r="K18" s="72"/>
      <c r="L18" s="72"/>
      <c r="M18" s="72"/>
      <c r="N18" s="72"/>
      <c r="O18" s="72"/>
      <c r="P18" s="26"/>
      <c r="Q18" s="26"/>
      <c r="R18" s="26"/>
      <c r="S18" s="72"/>
      <c r="T18" s="72"/>
      <c r="U18" s="72"/>
      <c r="V18" s="72"/>
      <c r="W18" s="72"/>
      <c r="X18" s="72"/>
      <c r="Y18" s="72"/>
      <c r="Z18" s="72"/>
      <c r="AA18" s="517"/>
      <c r="AB18" s="658"/>
      <c r="AC18" s="518"/>
      <c r="AD18" s="518"/>
      <c r="AE18" s="518"/>
      <c r="AF18" s="518"/>
      <c r="AG18" s="518"/>
      <c r="AH18" s="658"/>
      <c r="AI18" s="520"/>
      <c r="AJ18" s="658"/>
      <c r="AK18" s="522"/>
      <c r="AL18" s="72"/>
      <c r="AM18" s="72"/>
      <c r="AN18" s="72"/>
      <c r="AO18" s="72"/>
      <c r="AP18" s="72"/>
      <c r="AQ18" s="72"/>
      <c r="AR18" s="72"/>
      <c r="AS18" s="72"/>
      <c r="AT18" s="142"/>
      <c r="AU18" s="522"/>
      <c r="AV18" s="26"/>
      <c r="AW18" s="26"/>
      <c r="AX18" s="72"/>
      <c r="AY18" s="72"/>
      <c r="AZ18" s="72"/>
      <c r="BA18" s="518"/>
      <c r="BB18" s="72"/>
      <c r="BC18" s="72"/>
      <c r="BD18" s="518"/>
      <c r="BE18" s="591"/>
      <c r="BF18" s="649"/>
      <c r="BG18" s="642"/>
      <c r="BH18" s="642"/>
      <c r="BI18" s="638"/>
      <c r="BJ18" s="638"/>
      <c r="BK18" s="638"/>
      <c r="BL18" s="638"/>
      <c r="BM18" s="522"/>
      <c r="BP18" s="72"/>
      <c r="BQ18" s="72"/>
      <c r="BR18" s="72"/>
      <c r="BS18" s="72"/>
      <c r="BV18" s="659"/>
      <c r="BW18" s="591"/>
      <c r="BX18" s="591"/>
      <c r="BY18" s="591"/>
      <c r="BZ18" s="591"/>
      <c r="CA18" s="26"/>
      <c r="CB18" s="26"/>
      <c r="CC18" s="26"/>
      <c r="CD18" s="591"/>
      <c r="CE18" s="26"/>
      <c r="CF18" s="26"/>
      <c r="CG18" s="26"/>
      <c r="CH18" s="518"/>
      <c r="CI18" s="518"/>
      <c r="CJ18" s="591"/>
    </row>
    <row r="19" hidden="1">
      <c r="A19" s="590"/>
      <c r="B19" s="514" t="s">
        <v>1167</v>
      </c>
      <c r="C19" s="522"/>
      <c r="D19" s="527"/>
      <c r="E19" s="527" t="s">
        <v>1168</v>
      </c>
      <c r="F19" s="527"/>
      <c r="G19" s="72"/>
      <c r="H19" s="527"/>
      <c r="I19" s="527" t="s">
        <v>1169</v>
      </c>
      <c r="J19" s="527"/>
      <c r="K19" s="72"/>
      <c r="L19" s="72"/>
      <c r="M19" s="72" t="s">
        <v>1170</v>
      </c>
      <c r="N19" s="72"/>
      <c r="O19" s="72"/>
      <c r="P19" s="72"/>
      <c r="Q19" s="72" t="s">
        <v>1171</v>
      </c>
      <c r="R19" s="72"/>
      <c r="S19" s="72"/>
      <c r="T19" s="72"/>
      <c r="U19" s="72" t="s">
        <v>1172</v>
      </c>
      <c r="V19" s="72"/>
      <c r="W19" s="72"/>
      <c r="X19" s="72"/>
      <c r="Y19" s="72"/>
      <c r="Z19" s="72"/>
      <c r="AA19" s="517"/>
      <c r="AB19" s="518" t="s">
        <v>1173</v>
      </c>
      <c r="AC19" s="518"/>
      <c r="AD19" s="518" t="s">
        <v>1174</v>
      </c>
      <c r="AE19" s="518"/>
      <c r="AF19" s="518"/>
      <c r="AG19" s="518"/>
      <c r="AH19" s="518"/>
      <c r="AI19" s="520"/>
      <c r="AJ19" s="521"/>
      <c r="AK19" s="522"/>
      <c r="AL19" s="72"/>
      <c r="AM19" s="72"/>
      <c r="AN19" s="72"/>
      <c r="AO19" s="72"/>
      <c r="AP19" s="72"/>
      <c r="AQ19" s="72"/>
      <c r="AR19" s="72"/>
      <c r="AS19" s="72"/>
      <c r="AT19" s="142"/>
      <c r="AU19" s="522"/>
      <c r="AV19" s="72"/>
      <c r="AW19" s="72"/>
      <c r="AX19" s="72"/>
      <c r="AY19" s="72"/>
      <c r="AZ19" s="72"/>
      <c r="BA19" s="518"/>
      <c r="BB19" s="72"/>
      <c r="BC19" s="72"/>
      <c r="BD19" s="518"/>
      <c r="BE19" s="518"/>
      <c r="BF19" s="521"/>
      <c r="BG19" s="642"/>
      <c r="BH19" s="642"/>
      <c r="BI19" s="642"/>
      <c r="BJ19" s="642"/>
      <c r="BK19" s="642"/>
      <c r="BL19" s="642"/>
      <c r="BM19" s="522"/>
      <c r="BN19" s="72"/>
      <c r="BO19" s="72"/>
      <c r="BP19" s="72"/>
      <c r="BQ19" s="72"/>
      <c r="BR19" s="72"/>
      <c r="BS19" s="72"/>
      <c r="BT19" s="72"/>
      <c r="BU19" s="72"/>
      <c r="BV19" s="517"/>
      <c r="BW19" s="518"/>
      <c r="BX19" s="518"/>
      <c r="BY19" s="518"/>
      <c r="BZ19" s="518"/>
      <c r="CA19" s="72"/>
      <c r="CB19" s="72"/>
      <c r="CC19" s="72"/>
      <c r="CD19" s="518"/>
      <c r="CE19" s="72"/>
      <c r="CF19" s="72"/>
      <c r="CG19" s="72"/>
      <c r="CH19" s="518"/>
      <c r="CI19" s="518"/>
      <c r="CJ19" s="521"/>
    </row>
    <row r="20" hidden="1">
      <c r="A20" s="590"/>
      <c r="B20" s="514" t="s">
        <v>1175</v>
      </c>
      <c r="C20" s="522"/>
      <c r="D20" s="527"/>
      <c r="E20" s="527" t="s">
        <v>1176</v>
      </c>
      <c r="F20" s="527"/>
      <c r="G20" s="72"/>
      <c r="H20" s="527"/>
      <c r="I20" s="527" t="s">
        <v>1177</v>
      </c>
      <c r="J20" s="527"/>
      <c r="K20" s="72"/>
      <c r="L20" s="72"/>
      <c r="M20" s="72" t="s">
        <v>1178</v>
      </c>
      <c r="N20" s="72"/>
      <c r="O20" s="72"/>
      <c r="P20" s="72"/>
      <c r="Q20" s="72" t="s">
        <v>1179</v>
      </c>
      <c r="R20" s="72"/>
      <c r="S20" s="72"/>
      <c r="T20" s="72"/>
      <c r="U20" s="72" t="s">
        <v>1180</v>
      </c>
      <c r="V20" s="72" t="s">
        <v>1181</v>
      </c>
      <c r="W20" s="72"/>
      <c r="X20" s="72"/>
      <c r="Y20" s="72"/>
      <c r="Z20" s="72"/>
      <c r="AA20" s="517"/>
      <c r="AB20" s="518"/>
      <c r="AC20" s="518"/>
      <c r="AD20" s="518"/>
      <c r="AE20" s="518"/>
      <c r="AF20" s="518"/>
      <c r="AG20" s="518"/>
      <c r="AH20" s="518"/>
      <c r="AI20" s="520"/>
      <c r="AJ20" s="521"/>
      <c r="AK20" s="522"/>
      <c r="AL20" s="72"/>
      <c r="AM20" s="72"/>
      <c r="AN20" s="72"/>
      <c r="AO20" s="72"/>
      <c r="AP20" s="72"/>
      <c r="AQ20" s="72"/>
      <c r="AR20" s="72"/>
      <c r="AS20" s="72"/>
      <c r="AT20" s="224"/>
      <c r="AU20" s="522"/>
      <c r="AV20" s="72"/>
      <c r="AW20" s="72"/>
      <c r="AX20" s="72"/>
      <c r="AY20" s="72"/>
      <c r="AZ20" s="72"/>
      <c r="BA20" s="518"/>
      <c r="BB20" s="72"/>
      <c r="BC20" s="72"/>
      <c r="BD20" s="518"/>
      <c r="BE20" s="518"/>
      <c r="BF20" s="521"/>
      <c r="BG20" s="642"/>
      <c r="BH20" s="642"/>
      <c r="BI20" s="642"/>
      <c r="BJ20" s="642"/>
      <c r="BK20" s="642"/>
      <c r="BL20" s="642"/>
      <c r="BM20" s="522"/>
      <c r="BN20" s="72"/>
      <c r="BO20" s="72"/>
      <c r="BP20" s="72"/>
      <c r="BQ20" s="72"/>
      <c r="BR20" s="72"/>
      <c r="BS20" s="72"/>
      <c r="BT20" s="72"/>
      <c r="BU20" s="72"/>
      <c r="BV20" s="517"/>
      <c r="BW20" s="518"/>
      <c r="BX20" s="518"/>
      <c r="BY20" s="518"/>
      <c r="BZ20" s="518"/>
      <c r="CA20" s="72"/>
      <c r="CB20" s="72"/>
      <c r="CC20" s="72"/>
      <c r="CD20" s="518"/>
      <c r="CE20" s="72"/>
      <c r="CF20" s="72"/>
      <c r="CG20" s="72"/>
      <c r="CH20" s="518"/>
      <c r="CI20" s="518"/>
      <c r="CJ20" s="521"/>
    </row>
    <row r="21">
      <c r="A21" s="590"/>
      <c r="B21" s="514" t="s">
        <v>721</v>
      </c>
      <c r="C21" s="522">
        <v>0.9</v>
      </c>
      <c r="D21" s="527"/>
      <c r="E21" s="527" t="s">
        <v>1182</v>
      </c>
      <c r="F21" s="527" t="s">
        <v>1183</v>
      </c>
      <c r="G21" s="72">
        <v>0.772</v>
      </c>
      <c r="H21" s="527"/>
      <c r="I21" s="527" t="s">
        <v>1184</v>
      </c>
      <c r="J21" s="527" t="s">
        <v>1185</v>
      </c>
      <c r="K21" s="72">
        <v>0.75</v>
      </c>
      <c r="L21" s="72"/>
      <c r="M21" s="72" t="s">
        <v>1186</v>
      </c>
      <c r="N21" s="72" t="s">
        <v>1187</v>
      </c>
      <c r="O21" s="72">
        <v>0.649</v>
      </c>
      <c r="P21" s="72"/>
      <c r="Q21" s="72" t="s">
        <v>1188</v>
      </c>
      <c r="R21" s="72" t="s">
        <v>1189</v>
      </c>
      <c r="S21" s="72">
        <v>0.899</v>
      </c>
      <c r="T21" s="72"/>
      <c r="U21" s="72" t="s">
        <v>1190</v>
      </c>
      <c r="V21" s="72" t="s">
        <v>1191</v>
      </c>
      <c r="W21" s="72"/>
      <c r="X21" s="72"/>
      <c r="Y21" s="72"/>
      <c r="Z21" s="72"/>
      <c r="AA21" s="517">
        <v>0.528</v>
      </c>
      <c r="AB21" s="224" t="s">
        <v>1194</v>
      </c>
      <c r="AC21" s="518">
        <v>0.129</v>
      </c>
      <c r="AD21" s="224" t="s">
        <v>1195</v>
      </c>
      <c r="AE21" s="518">
        <v>0.505</v>
      </c>
      <c r="AF21" s="518" t="s">
        <v>1196</v>
      </c>
      <c r="AG21" s="518"/>
      <c r="AH21" s="518"/>
      <c r="AI21" s="520">
        <v>0.482</v>
      </c>
      <c r="AJ21" s="224" t="s">
        <v>1198</v>
      </c>
      <c r="AK21" s="522"/>
      <c r="AL21" s="224" t="s">
        <v>1720</v>
      </c>
      <c r="AM21" s="72"/>
      <c r="AN21" s="224" t="s">
        <v>1200</v>
      </c>
      <c r="AO21" s="72"/>
      <c r="AP21" s="224" t="s">
        <v>1721</v>
      </c>
      <c r="AQ21" s="72"/>
      <c r="AR21" s="72" t="s">
        <v>1202</v>
      </c>
      <c r="AS21" s="72"/>
      <c r="AT21" s="224" t="s">
        <v>1203</v>
      </c>
      <c r="AU21" s="530">
        <v>0.932</v>
      </c>
      <c r="AV21" s="531" t="s">
        <v>1722</v>
      </c>
      <c r="AW21" s="72" t="s">
        <v>1205</v>
      </c>
      <c r="AX21" s="26"/>
      <c r="AY21" s="72" t="s">
        <v>1206</v>
      </c>
      <c r="AZ21" s="72" t="s">
        <v>1723</v>
      </c>
      <c r="BA21" s="518"/>
      <c r="BB21" s="72" t="s">
        <v>1208</v>
      </c>
      <c r="BC21" s="72" t="s">
        <v>1209</v>
      </c>
      <c r="BD21" s="518"/>
      <c r="BE21" s="543" t="s">
        <v>1724</v>
      </c>
      <c r="BF21" s="521" t="s">
        <v>1725</v>
      </c>
      <c r="BG21" s="642"/>
      <c r="BH21" s="642"/>
      <c r="BI21" s="642"/>
      <c r="BJ21" s="642"/>
      <c r="BK21" s="642"/>
      <c r="BL21" s="642"/>
      <c r="BM21" s="522"/>
      <c r="BN21" s="72"/>
      <c r="BO21" s="72"/>
      <c r="BP21" s="72"/>
      <c r="BQ21" s="72"/>
      <c r="BR21" s="72"/>
      <c r="BS21" s="72"/>
      <c r="BT21" s="72"/>
      <c r="BU21" s="72"/>
      <c r="BV21" s="517"/>
      <c r="BW21" s="518" t="s">
        <v>1212</v>
      </c>
      <c r="BX21" s="518" t="s">
        <v>1213</v>
      </c>
      <c r="BY21" s="518" t="s">
        <v>1214</v>
      </c>
      <c r="BZ21" s="518"/>
      <c r="CA21" s="72" t="s">
        <v>1726</v>
      </c>
      <c r="CB21" s="72" t="s">
        <v>1216</v>
      </c>
      <c r="CC21" s="531" t="s">
        <v>1217</v>
      </c>
      <c r="CD21" s="518"/>
      <c r="CE21" s="72" t="s">
        <v>1218</v>
      </c>
      <c r="CF21" s="72" t="s">
        <v>1219</v>
      </c>
      <c r="CG21" s="72" t="s">
        <v>1220</v>
      </c>
      <c r="CH21" s="543">
        <v>0.984</v>
      </c>
      <c r="CI21" s="518" t="s">
        <v>1221</v>
      </c>
      <c r="CJ21" s="521" t="s">
        <v>1222</v>
      </c>
    </row>
    <row r="22">
      <c r="A22" s="590"/>
      <c r="B22" s="514" t="s">
        <v>722</v>
      </c>
      <c r="C22" s="522">
        <v>0.906</v>
      </c>
      <c r="D22" s="527"/>
      <c r="E22" s="527" t="s">
        <v>1727</v>
      </c>
      <c r="F22" s="527" t="s">
        <v>1224</v>
      </c>
      <c r="G22" s="72">
        <v>0.78</v>
      </c>
      <c r="H22" s="527"/>
      <c r="I22" s="527" t="s">
        <v>1225</v>
      </c>
      <c r="J22" s="527" t="s">
        <v>1226</v>
      </c>
      <c r="K22" s="72">
        <v>0.752</v>
      </c>
      <c r="L22" s="72"/>
      <c r="M22" s="72" t="s">
        <v>1227</v>
      </c>
      <c r="N22" s="72" t="s">
        <v>1228</v>
      </c>
      <c r="O22" s="593">
        <v>0.633</v>
      </c>
      <c r="P22" s="72"/>
      <c r="Q22" s="72" t="s">
        <v>1229</v>
      </c>
      <c r="R22" s="72" t="s">
        <v>1230</v>
      </c>
      <c r="S22" s="72">
        <v>0.921</v>
      </c>
      <c r="T22" s="72"/>
      <c r="U22" s="72" t="s">
        <v>1728</v>
      </c>
      <c r="V22" s="72" t="s">
        <v>1232</v>
      </c>
      <c r="W22" s="72">
        <v>0.725</v>
      </c>
      <c r="X22" s="72"/>
      <c r="Y22" s="72" t="s">
        <v>1729</v>
      </c>
      <c r="Z22" s="72" t="s">
        <v>1234</v>
      </c>
      <c r="AA22" s="517">
        <v>0.501</v>
      </c>
      <c r="AB22" s="518" t="s">
        <v>1235</v>
      </c>
      <c r="AC22" s="518">
        <v>0.12</v>
      </c>
      <c r="AD22" s="518" t="s">
        <v>1236</v>
      </c>
      <c r="AE22" s="518">
        <v>0.486</v>
      </c>
      <c r="AF22" s="518" t="s">
        <v>1237</v>
      </c>
      <c r="AG22" s="518"/>
      <c r="AH22" s="518"/>
      <c r="AI22" s="520">
        <v>0.459</v>
      </c>
      <c r="AJ22" s="521" t="s">
        <v>1239</v>
      </c>
      <c r="AK22" s="522"/>
      <c r="AL22" s="72" t="s">
        <v>1240</v>
      </c>
      <c r="AM22" s="72"/>
      <c r="AN22" s="72" t="s">
        <v>1241</v>
      </c>
      <c r="AO22" s="72"/>
      <c r="AP22" s="72" t="s">
        <v>1242</v>
      </c>
      <c r="AQ22" s="72"/>
      <c r="AR22" s="72" t="s">
        <v>1243</v>
      </c>
      <c r="AS22" s="72"/>
      <c r="AT22" s="224" t="s">
        <v>1244</v>
      </c>
      <c r="AU22" s="522"/>
      <c r="AV22" s="72" t="s">
        <v>1246</v>
      </c>
      <c r="AW22" s="72" t="s">
        <v>1730</v>
      </c>
      <c r="AX22" s="72"/>
      <c r="AY22" s="72" t="s">
        <v>1248</v>
      </c>
      <c r="AZ22" s="72" t="s">
        <v>1249</v>
      </c>
      <c r="BA22" s="518"/>
      <c r="BB22" s="72" t="s">
        <v>1250</v>
      </c>
      <c r="BC22" s="72" t="s">
        <v>1251</v>
      </c>
      <c r="BD22" s="518"/>
      <c r="BE22" s="518" t="s">
        <v>1731</v>
      </c>
      <c r="BF22" s="521" t="s">
        <v>1732</v>
      </c>
      <c r="BG22" s="642"/>
      <c r="BH22" s="642"/>
      <c r="BI22" s="642"/>
      <c r="BJ22" s="642"/>
      <c r="BK22" s="642"/>
      <c r="BL22" s="642"/>
      <c r="BM22" s="522"/>
      <c r="BN22" s="72"/>
      <c r="BO22" s="72"/>
      <c r="BP22" s="72"/>
      <c r="BQ22" s="72"/>
      <c r="BR22" s="72"/>
      <c r="BS22" s="72"/>
      <c r="BT22" s="72"/>
      <c r="BU22" s="72"/>
      <c r="BV22" s="517"/>
      <c r="BW22" s="518" t="s">
        <v>1254</v>
      </c>
      <c r="BX22" s="518" t="s">
        <v>1255</v>
      </c>
      <c r="BY22" s="518" t="s">
        <v>1256</v>
      </c>
      <c r="BZ22" s="518"/>
      <c r="CA22" s="72" t="s">
        <v>1257</v>
      </c>
      <c r="CB22" s="72" t="s">
        <v>1258</v>
      </c>
      <c r="CC22" s="72" t="s">
        <v>1259</v>
      </c>
      <c r="CD22" s="518"/>
      <c r="CE22" s="72" t="s">
        <v>1260</v>
      </c>
      <c r="CF22" s="72" t="s">
        <v>1261</v>
      </c>
      <c r="CG22" s="72" t="s">
        <v>1262</v>
      </c>
      <c r="CH22" s="508">
        <v>0.982</v>
      </c>
      <c r="CI22" s="508" t="s">
        <v>1263</v>
      </c>
      <c r="CJ22" s="526" t="s">
        <v>1264</v>
      </c>
    </row>
    <row r="23">
      <c r="A23" s="590"/>
      <c r="B23" s="514" t="s">
        <v>414</v>
      </c>
      <c r="C23" s="522">
        <v>0.708</v>
      </c>
      <c r="D23" s="527"/>
      <c r="E23" s="527" t="s">
        <v>1265</v>
      </c>
      <c r="F23" s="527" t="s">
        <v>1266</v>
      </c>
      <c r="G23" s="72">
        <v>0.235</v>
      </c>
      <c r="H23" s="527"/>
      <c r="I23" s="527" t="s">
        <v>1267</v>
      </c>
      <c r="J23" s="527" t="s">
        <v>1268</v>
      </c>
      <c r="K23" s="72">
        <v>0.732</v>
      </c>
      <c r="L23" s="72"/>
      <c r="M23" s="72" t="s">
        <v>1269</v>
      </c>
      <c r="N23" s="72" t="s">
        <v>1270</v>
      </c>
      <c r="O23" s="72">
        <v>0.566</v>
      </c>
      <c r="P23" s="72"/>
      <c r="Q23" s="72" t="s">
        <v>1271</v>
      </c>
      <c r="R23" s="72" t="s">
        <v>1272</v>
      </c>
      <c r="S23" s="72">
        <v>0.799</v>
      </c>
      <c r="T23" s="72"/>
      <c r="U23" s="72" t="s">
        <v>1273</v>
      </c>
      <c r="V23" s="72" t="s">
        <v>1274</v>
      </c>
      <c r="W23" s="72"/>
      <c r="X23" s="72"/>
      <c r="Y23" s="72"/>
      <c r="Z23" s="72"/>
      <c r="AA23" s="517">
        <v>0.343</v>
      </c>
      <c r="AB23" s="518" t="s">
        <v>1277</v>
      </c>
      <c r="AC23" s="518">
        <v>0.06</v>
      </c>
      <c r="AD23" s="518" t="s">
        <v>1278</v>
      </c>
      <c r="AE23" s="518">
        <v>0.398</v>
      </c>
      <c r="AF23" s="518" t="s">
        <v>1279</v>
      </c>
      <c r="AG23" s="518"/>
      <c r="AH23" s="518"/>
      <c r="AI23" s="520">
        <v>0.285</v>
      </c>
      <c r="AJ23" s="521" t="s">
        <v>1281</v>
      </c>
      <c r="AK23" s="522"/>
      <c r="AL23" s="72"/>
      <c r="AM23" s="72"/>
      <c r="AN23" s="72"/>
      <c r="AO23" s="72"/>
      <c r="AP23" s="72"/>
      <c r="AQ23" s="72"/>
      <c r="AR23" s="72"/>
      <c r="AS23" s="72"/>
      <c r="AT23" s="224"/>
      <c r="AU23" s="522">
        <v>0.892</v>
      </c>
      <c r="AV23" s="72" t="s">
        <v>1287</v>
      </c>
      <c r="AW23" s="72" t="s">
        <v>1288</v>
      </c>
      <c r="AX23" s="72">
        <v>0.909</v>
      </c>
      <c r="AY23" s="72" t="s">
        <v>1289</v>
      </c>
      <c r="AZ23" s="72" t="s">
        <v>1290</v>
      </c>
      <c r="BA23" s="518"/>
      <c r="BB23" s="72" t="s">
        <v>1291</v>
      </c>
      <c r="BC23" s="72" t="s">
        <v>1292</v>
      </c>
      <c r="BD23" s="518"/>
      <c r="BE23" s="518" t="s">
        <v>1733</v>
      </c>
      <c r="BF23" s="521" t="s">
        <v>1734</v>
      </c>
      <c r="BG23" s="642"/>
      <c r="BH23" s="642"/>
      <c r="BI23" s="642"/>
      <c r="BJ23" s="642"/>
      <c r="BK23" s="642"/>
      <c r="BL23" s="642"/>
      <c r="BM23" s="522"/>
      <c r="BN23" s="72"/>
      <c r="BO23" s="72"/>
      <c r="BP23" s="72"/>
      <c r="BQ23" s="72"/>
      <c r="BR23" s="72"/>
      <c r="BS23" s="72"/>
      <c r="BT23" s="72"/>
      <c r="BU23" s="72"/>
      <c r="BV23" s="517"/>
      <c r="BW23" s="508" t="s">
        <v>1294</v>
      </c>
      <c r="BX23" s="508" t="s">
        <v>1295</v>
      </c>
      <c r="BY23" s="508" t="s">
        <v>1296</v>
      </c>
      <c r="BZ23" s="508"/>
      <c r="CA23" s="510" t="s">
        <v>1297</v>
      </c>
      <c r="CB23" s="510" t="s">
        <v>1298</v>
      </c>
      <c r="CC23" s="510" t="s">
        <v>1299</v>
      </c>
      <c r="CD23" s="508"/>
      <c r="CE23" s="510" t="s">
        <v>1300</v>
      </c>
      <c r="CF23" s="510" t="s">
        <v>1301</v>
      </c>
      <c r="CG23" s="510" t="s">
        <v>1302</v>
      </c>
      <c r="CH23" s="508">
        <v>0.966</v>
      </c>
      <c r="CI23" s="508" t="s">
        <v>1303</v>
      </c>
      <c r="CJ23" s="526" t="s">
        <v>1304</v>
      </c>
    </row>
    <row r="24" hidden="1">
      <c r="A24" s="590"/>
      <c r="B24" s="514" t="s">
        <v>704</v>
      </c>
      <c r="C24" s="527">
        <v>0.85</v>
      </c>
      <c r="D24" s="224"/>
      <c r="E24" s="224" t="s">
        <v>1338</v>
      </c>
      <c r="F24" s="527" t="s">
        <v>1339</v>
      </c>
      <c r="G24" s="72">
        <v>0.738</v>
      </c>
      <c r="H24" s="527"/>
      <c r="I24" s="527" t="s">
        <v>1340</v>
      </c>
      <c r="J24" s="527" t="s">
        <v>1341</v>
      </c>
      <c r="K24" s="72">
        <v>0.737</v>
      </c>
      <c r="L24" s="72"/>
      <c r="M24" s="72" t="s">
        <v>1342</v>
      </c>
      <c r="N24" s="72" t="s">
        <v>1343</v>
      </c>
      <c r="O24" s="72">
        <v>0.628</v>
      </c>
      <c r="P24" s="72"/>
      <c r="Q24" s="72" t="s">
        <v>1344</v>
      </c>
      <c r="R24" s="72" t="s">
        <v>1345</v>
      </c>
      <c r="S24" s="72">
        <v>0.899</v>
      </c>
      <c r="T24" s="72"/>
      <c r="U24" s="72" t="s">
        <v>1346</v>
      </c>
      <c r="V24" s="72" t="s">
        <v>1347</v>
      </c>
      <c r="W24" s="72"/>
      <c r="X24" s="72"/>
      <c r="Y24" s="72"/>
      <c r="Z24" s="72"/>
      <c r="AA24" s="517">
        <v>0.526</v>
      </c>
      <c r="AB24" s="518" t="s">
        <v>1348</v>
      </c>
      <c r="AC24" s="518">
        <v>0.116</v>
      </c>
      <c r="AD24" s="518" t="s">
        <v>711</v>
      </c>
      <c r="AE24" s="518">
        <v>0.452</v>
      </c>
      <c r="AF24" s="518" t="s">
        <v>1349</v>
      </c>
      <c r="AG24" s="518"/>
      <c r="AH24" s="518"/>
      <c r="AI24" s="520">
        <v>0.398</v>
      </c>
      <c r="AJ24" s="521" t="s">
        <v>1350</v>
      </c>
      <c r="AK24" s="522"/>
      <c r="AL24" s="72"/>
      <c r="AM24" s="72"/>
      <c r="AN24" s="72"/>
      <c r="AO24" s="72"/>
      <c r="AP24" s="72"/>
      <c r="AQ24" s="72"/>
      <c r="AR24" s="72"/>
      <c r="AS24" s="72"/>
      <c r="AT24" s="224"/>
      <c r="AU24" s="522"/>
      <c r="AV24" s="72"/>
      <c r="AW24" s="72"/>
      <c r="AX24" s="72"/>
      <c r="AY24" s="72"/>
      <c r="AZ24" s="72"/>
      <c r="BA24" s="518"/>
      <c r="BB24" s="72"/>
      <c r="BC24" s="72"/>
      <c r="BD24" s="518"/>
      <c r="BE24" s="518" t="s">
        <v>692</v>
      </c>
      <c r="BF24" s="521"/>
      <c r="BG24" s="642"/>
      <c r="BH24" s="642"/>
      <c r="BI24" s="642"/>
      <c r="BJ24" s="642"/>
      <c r="BK24" s="642"/>
      <c r="BL24" s="642"/>
      <c r="BM24" s="522"/>
      <c r="BN24" s="72"/>
      <c r="BO24" s="72"/>
      <c r="BP24" s="72"/>
      <c r="BQ24" s="72"/>
      <c r="BR24" s="72"/>
      <c r="BS24" s="72"/>
      <c r="BT24" s="72"/>
      <c r="BU24" s="72"/>
      <c r="BV24" s="517"/>
      <c r="BW24" s="518"/>
      <c r="BX24" s="518"/>
      <c r="BY24" s="518"/>
      <c r="BZ24" s="518"/>
      <c r="CA24" s="72"/>
      <c r="CB24" s="72"/>
      <c r="CC24" s="72"/>
      <c r="CD24" s="518"/>
      <c r="CE24" s="72"/>
      <c r="CF24" s="72"/>
      <c r="CG24" s="72"/>
      <c r="CH24" s="518"/>
      <c r="CI24" s="518"/>
      <c r="CJ24" s="521"/>
    </row>
    <row r="25" hidden="1">
      <c r="A25" s="590"/>
      <c r="B25" s="514" t="s">
        <v>713</v>
      </c>
      <c r="C25" s="522">
        <v>0.87</v>
      </c>
      <c r="D25" s="527"/>
      <c r="E25" s="527" t="s">
        <v>1351</v>
      </c>
      <c r="F25" s="527" t="s">
        <v>1352</v>
      </c>
      <c r="G25" s="72">
        <v>0.759</v>
      </c>
      <c r="H25" s="527"/>
      <c r="I25" s="527" t="s">
        <v>1353</v>
      </c>
      <c r="J25" s="527" t="s">
        <v>1354</v>
      </c>
      <c r="K25" s="72">
        <v>0.733</v>
      </c>
      <c r="L25" s="72"/>
      <c r="M25" s="72" t="s">
        <v>1355</v>
      </c>
      <c r="N25" s="72" t="s">
        <v>1356</v>
      </c>
      <c r="O25" s="72">
        <v>0.608</v>
      </c>
      <c r="P25" s="72"/>
      <c r="Q25" s="72" t="s">
        <v>1357</v>
      </c>
      <c r="R25" s="72" t="s">
        <v>1358</v>
      </c>
      <c r="S25" s="72">
        <v>0.841</v>
      </c>
      <c r="T25" s="72"/>
      <c r="U25" s="72" t="s">
        <v>1359</v>
      </c>
      <c r="V25" s="72" t="s">
        <v>1360</v>
      </c>
      <c r="W25" s="72"/>
      <c r="X25" s="72"/>
      <c r="Y25" s="72"/>
      <c r="Z25" s="72"/>
      <c r="AA25" s="517">
        <v>0.505</v>
      </c>
      <c r="AB25" s="518" t="s">
        <v>1361</v>
      </c>
      <c r="AC25" s="518">
        <v>0.107</v>
      </c>
      <c r="AD25" s="518" t="s">
        <v>1362</v>
      </c>
      <c r="AE25" s="518">
        <v>0.417</v>
      </c>
      <c r="AF25" s="518" t="s">
        <v>1363</v>
      </c>
      <c r="AG25" s="518"/>
      <c r="AH25" s="518"/>
      <c r="AI25" s="520">
        <v>0.482</v>
      </c>
      <c r="AJ25" s="521" t="s">
        <v>1364</v>
      </c>
      <c r="AK25" s="522"/>
      <c r="AL25" s="72"/>
      <c r="AM25" s="72"/>
      <c r="AN25" s="72"/>
      <c r="AO25" s="72"/>
      <c r="AP25" s="72"/>
      <c r="AQ25" s="72"/>
      <c r="AR25" s="72"/>
      <c r="AS25" s="72"/>
      <c r="AT25" s="224"/>
      <c r="AU25" s="522"/>
      <c r="AV25" s="72"/>
      <c r="AW25" s="72"/>
      <c r="AX25" s="72"/>
      <c r="AY25" s="72"/>
      <c r="AZ25" s="72"/>
      <c r="BA25" s="518"/>
      <c r="BB25" s="72"/>
      <c r="BC25" s="72"/>
      <c r="BD25" s="518"/>
      <c r="BE25" s="518"/>
      <c r="BF25" s="521"/>
      <c r="BG25" s="642"/>
      <c r="BH25" s="642"/>
      <c r="BI25" s="642"/>
      <c r="BJ25" s="642"/>
      <c r="BK25" s="642"/>
      <c r="BL25" s="642"/>
      <c r="BM25" s="522"/>
      <c r="BN25" s="72"/>
      <c r="BO25" s="72"/>
      <c r="BP25" s="72"/>
      <c r="BQ25" s="72"/>
      <c r="BR25" s="72"/>
      <c r="BS25" s="72"/>
      <c r="BT25" s="72"/>
      <c r="BU25" s="72"/>
      <c r="BV25" s="517"/>
      <c r="BW25" s="518"/>
      <c r="BX25" s="518"/>
      <c r="BY25" s="518"/>
      <c r="BZ25" s="518"/>
      <c r="CA25" s="72"/>
      <c r="CB25" s="72"/>
      <c r="CC25" s="72"/>
      <c r="CD25" s="518"/>
      <c r="CE25" s="72"/>
      <c r="CF25" s="72"/>
      <c r="CG25" s="72"/>
      <c r="CH25" s="518"/>
      <c r="CI25" s="518"/>
      <c r="CJ25" s="521"/>
    </row>
    <row r="26" hidden="1">
      <c r="A26" s="590"/>
      <c r="B26" s="514" t="s">
        <v>720</v>
      </c>
      <c r="C26" s="522"/>
      <c r="D26" s="527"/>
      <c r="E26" s="527"/>
      <c r="F26" s="527"/>
      <c r="G26" s="72"/>
      <c r="H26" s="527"/>
      <c r="I26" s="527"/>
      <c r="J26" s="527"/>
      <c r="K26" s="72"/>
      <c r="L26" s="26"/>
      <c r="M26" s="26"/>
      <c r="N26" s="26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517"/>
      <c r="AB26" s="518"/>
      <c r="AC26" s="518"/>
      <c r="AD26" s="518"/>
      <c r="AE26" s="518"/>
      <c r="AF26" s="518"/>
      <c r="AG26" s="518"/>
      <c r="AH26" s="518"/>
      <c r="AI26" s="520"/>
      <c r="AJ26" s="521"/>
      <c r="AK26" s="522"/>
      <c r="AL26" s="72"/>
      <c r="AM26" s="72"/>
      <c r="AN26" s="72"/>
      <c r="AO26" s="72"/>
      <c r="AP26" s="72"/>
      <c r="AQ26" s="72"/>
      <c r="AR26" s="72"/>
      <c r="AS26" s="72"/>
      <c r="AT26" s="224"/>
      <c r="AU26" s="522"/>
      <c r="AV26" s="72"/>
      <c r="AW26" s="72"/>
      <c r="AX26" s="72"/>
      <c r="AY26" s="72"/>
      <c r="AZ26" s="72"/>
      <c r="BA26" s="518"/>
      <c r="BB26" s="72"/>
      <c r="BC26" s="72"/>
      <c r="BD26" s="518"/>
      <c r="BE26" s="518"/>
      <c r="BF26" s="521"/>
      <c r="BG26" s="642"/>
      <c r="BH26" s="642"/>
      <c r="BI26" s="642"/>
      <c r="BJ26" s="642"/>
      <c r="BK26" s="642"/>
      <c r="BL26" s="642"/>
      <c r="BM26" s="522"/>
      <c r="BN26" s="72"/>
      <c r="BO26" s="72"/>
      <c r="BP26" s="72"/>
      <c r="BQ26" s="72"/>
      <c r="BR26" s="72"/>
      <c r="BS26" s="72"/>
      <c r="BT26" s="72"/>
      <c r="BU26" s="72"/>
      <c r="BV26" s="517"/>
      <c r="BW26" s="518"/>
      <c r="BX26" s="518"/>
      <c r="BY26" s="518"/>
      <c r="BZ26" s="518"/>
      <c r="CA26" s="72"/>
      <c r="CB26" s="72"/>
      <c r="CC26" s="72"/>
      <c r="CD26" s="518"/>
      <c r="CE26" s="72"/>
      <c r="CF26" s="72"/>
      <c r="CG26" s="72"/>
      <c r="CH26" s="518"/>
      <c r="CI26" s="518"/>
      <c r="CJ26" s="521"/>
    </row>
    <row r="27" hidden="1">
      <c r="A27" s="590"/>
      <c r="B27" s="514" t="s">
        <v>1735</v>
      </c>
      <c r="C27" s="522"/>
      <c r="D27" s="527"/>
      <c r="E27" s="527" t="s">
        <v>1736</v>
      </c>
      <c r="F27" s="527"/>
      <c r="G27" s="72"/>
      <c r="H27" s="527"/>
      <c r="I27" s="527" t="s">
        <v>1184</v>
      </c>
      <c r="J27" s="527"/>
      <c r="K27" s="72"/>
      <c r="L27" s="72"/>
      <c r="M27" s="72" t="s">
        <v>1737</v>
      </c>
      <c r="N27" s="72"/>
      <c r="O27" s="72"/>
      <c r="P27" s="72"/>
      <c r="Q27" s="72" t="s">
        <v>1738</v>
      </c>
      <c r="R27" s="72"/>
      <c r="S27" s="72"/>
      <c r="T27" s="72"/>
      <c r="U27" s="72" t="s">
        <v>1739</v>
      </c>
      <c r="V27" s="72"/>
      <c r="W27" s="72"/>
      <c r="X27" s="72"/>
      <c r="Y27" s="72"/>
      <c r="Z27" s="72"/>
      <c r="AA27" s="517"/>
      <c r="AB27" s="518"/>
      <c r="AC27" s="518"/>
      <c r="AD27" s="518" t="s">
        <v>1740</v>
      </c>
      <c r="AE27" s="518"/>
      <c r="AF27" s="518"/>
      <c r="AG27" s="518"/>
      <c r="AH27" s="518"/>
      <c r="AI27" s="520"/>
      <c r="AJ27" s="644" t="s">
        <v>1741</v>
      </c>
      <c r="AK27" s="522"/>
      <c r="AL27" s="72" t="s">
        <v>1742</v>
      </c>
      <c r="AM27" s="72"/>
      <c r="AN27" s="72" t="s">
        <v>1743</v>
      </c>
      <c r="AO27" s="72"/>
      <c r="AP27" s="72" t="s">
        <v>1744</v>
      </c>
      <c r="AQ27" s="72"/>
      <c r="AR27" s="72" t="s">
        <v>1745</v>
      </c>
      <c r="AS27" s="72"/>
      <c r="AT27" s="224"/>
      <c r="AU27" s="522"/>
      <c r="AV27" s="72"/>
      <c r="AW27" s="72"/>
      <c r="AX27" s="72"/>
      <c r="AY27" s="72"/>
      <c r="AZ27" s="72"/>
      <c r="BA27" s="518"/>
      <c r="BB27" s="72"/>
      <c r="BC27" s="72"/>
      <c r="BD27" s="518"/>
      <c r="BE27" s="518"/>
      <c r="BF27" s="521"/>
      <c r="BG27" s="642"/>
      <c r="BH27" s="642"/>
      <c r="BI27" s="642"/>
      <c r="BJ27" s="642"/>
      <c r="BK27" s="642"/>
      <c r="BL27" s="642"/>
      <c r="BM27" s="522"/>
      <c r="BN27" s="72"/>
      <c r="BO27" s="72"/>
      <c r="BP27" s="72"/>
      <c r="BQ27" s="72"/>
      <c r="BR27" s="72"/>
      <c r="BS27" s="72"/>
      <c r="BT27" s="72"/>
      <c r="BU27" s="72"/>
      <c r="BV27" s="517"/>
      <c r="BW27" s="518"/>
      <c r="BX27" s="518"/>
      <c r="BY27" s="518"/>
      <c r="BZ27" s="518"/>
      <c r="CA27" s="72"/>
      <c r="CB27" s="72"/>
      <c r="CC27" s="72"/>
      <c r="CD27" s="518"/>
      <c r="CE27" s="72"/>
      <c r="CF27" s="72"/>
      <c r="CG27" s="72"/>
      <c r="CH27" s="518"/>
      <c r="CI27" s="518"/>
      <c r="CJ27" s="521"/>
    </row>
    <row r="28" hidden="1">
      <c r="A28" s="590"/>
      <c r="B28" s="514" t="s">
        <v>1746</v>
      </c>
      <c r="C28" s="522"/>
      <c r="D28" s="527"/>
      <c r="E28" s="527" t="s">
        <v>1747</v>
      </c>
      <c r="F28" s="527"/>
      <c r="G28" s="72"/>
      <c r="H28" s="527"/>
      <c r="I28" s="527" t="s">
        <v>1748</v>
      </c>
      <c r="J28" s="527"/>
      <c r="K28" s="72"/>
      <c r="L28" s="72"/>
      <c r="M28" s="72" t="s">
        <v>1749</v>
      </c>
      <c r="N28" s="72"/>
      <c r="O28" s="72"/>
      <c r="P28" s="72"/>
      <c r="Q28" s="72" t="s">
        <v>1750</v>
      </c>
      <c r="R28" s="72"/>
      <c r="S28" s="72"/>
      <c r="T28" s="72"/>
      <c r="U28" s="72" t="s">
        <v>1751</v>
      </c>
      <c r="V28" s="72"/>
      <c r="W28" s="72"/>
      <c r="X28" s="72"/>
      <c r="Y28" s="72"/>
      <c r="Z28" s="72"/>
      <c r="AA28" s="517"/>
      <c r="AB28" s="518"/>
      <c r="AC28" s="518"/>
      <c r="AD28" s="518"/>
      <c r="AE28" s="518"/>
      <c r="AF28" s="518"/>
      <c r="AG28" s="518"/>
      <c r="AH28" s="518"/>
      <c r="AI28" s="520"/>
      <c r="AJ28" s="521"/>
      <c r="AK28" s="522"/>
      <c r="AL28" s="72"/>
      <c r="AM28" s="72"/>
      <c r="AN28" s="72"/>
      <c r="AO28" s="72"/>
      <c r="AP28" s="72"/>
      <c r="AQ28" s="72"/>
      <c r="AR28" s="72"/>
      <c r="AS28" s="72"/>
      <c r="AT28" s="224"/>
      <c r="AU28" s="522"/>
      <c r="AV28" s="72"/>
      <c r="AW28" s="72"/>
      <c r="AX28" s="72"/>
      <c r="AY28" s="72"/>
      <c r="AZ28" s="72"/>
      <c r="BA28" s="518"/>
      <c r="BB28" s="72"/>
      <c r="BC28" s="72"/>
      <c r="BD28" s="518"/>
      <c r="BE28" s="518"/>
      <c r="BF28" s="521"/>
      <c r="BG28" s="642"/>
      <c r="BH28" s="642"/>
      <c r="BI28" s="642"/>
      <c r="BJ28" s="642"/>
      <c r="BK28" s="642"/>
      <c r="BL28" s="642"/>
      <c r="BM28" s="522"/>
      <c r="BN28" s="72"/>
      <c r="BO28" s="72"/>
      <c r="BP28" s="72"/>
      <c r="BQ28" s="72"/>
      <c r="BR28" s="72"/>
      <c r="BS28" s="72"/>
      <c r="BT28" s="72"/>
      <c r="BU28" s="72"/>
      <c r="BV28" s="517"/>
      <c r="BW28" s="518"/>
      <c r="BX28" s="518"/>
      <c r="BY28" s="518"/>
      <c r="BZ28" s="518"/>
      <c r="CA28" s="72"/>
      <c r="CB28" s="72"/>
      <c r="CC28" s="72"/>
      <c r="CD28" s="518"/>
      <c r="CE28" s="72"/>
      <c r="CF28" s="72"/>
      <c r="CG28" s="72"/>
      <c r="CH28" s="518"/>
      <c r="CI28" s="518"/>
      <c r="CJ28" s="521"/>
    </row>
    <row r="29" hidden="1">
      <c r="A29" s="590"/>
      <c r="B29" s="514" t="s">
        <v>1752</v>
      </c>
      <c r="C29" s="522"/>
      <c r="D29" s="527"/>
      <c r="E29" s="527" t="s">
        <v>1753</v>
      </c>
      <c r="F29" s="527"/>
      <c r="G29" s="72"/>
      <c r="H29" s="527"/>
      <c r="I29" s="527" t="s">
        <v>1754</v>
      </c>
      <c r="J29" s="527"/>
      <c r="K29" s="72"/>
      <c r="L29" s="72"/>
      <c r="M29" s="72" t="s">
        <v>1755</v>
      </c>
      <c r="N29" s="72"/>
      <c r="O29" s="72"/>
      <c r="P29" s="72"/>
      <c r="Q29" s="72" t="s">
        <v>1756</v>
      </c>
      <c r="R29" s="72"/>
      <c r="S29" s="72"/>
      <c r="T29" s="72"/>
      <c r="U29" s="72" t="s">
        <v>1757</v>
      </c>
      <c r="V29" s="72"/>
      <c r="W29" s="72"/>
      <c r="X29" s="72"/>
      <c r="Y29" s="72"/>
      <c r="Z29" s="72"/>
      <c r="AA29" s="517"/>
      <c r="AB29" s="518"/>
      <c r="AC29" s="518"/>
      <c r="AD29" s="518"/>
      <c r="AE29" s="518"/>
      <c r="AF29" s="518"/>
      <c r="AG29" s="518"/>
      <c r="AH29" s="518"/>
      <c r="AI29" s="520"/>
      <c r="AJ29" s="521"/>
      <c r="AK29" s="522"/>
      <c r="AL29" s="72"/>
      <c r="AM29" s="72"/>
      <c r="AN29" s="72"/>
      <c r="AO29" s="72"/>
      <c r="AP29" s="72"/>
      <c r="AQ29" s="72"/>
      <c r="AR29" s="72"/>
      <c r="AS29" s="72"/>
      <c r="AT29" s="224"/>
      <c r="AU29" s="522"/>
      <c r="AV29" s="72"/>
      <c r="AW29" s="72"/>
      <c r="AX29" s="72"/>
      <c r="AY29" s="72"/>
      <c r="AZ29" s="72"/>
      <c r="BA29" s="518"/>
      <c r="BB29" s="72"/>
      <c r="BC29" s="72"/>
      <c r="BD29" s="518"/>
      <c r="BE29" s="518"/>
      <c r="BF29" s="521"/>
      <c r="BG29" s="642"/>
      <c r="BH29" s="642"/>
      <c r="BI29" s="642"/>
      <c r="BJ29" s="642"/>
      <c r="BK29" s="642"/>
      <c r="BL29" s="642"/>
      <c r="BM29" s="522"/>
      <c r="BN29" s="72"/>
      <c r="BO29" s="72"/>
      <c r="BP29" s="72"/>
      <c r="BQ29" s="72"/>
      <c r="BR29" s="72"/>
      <c r="BS29" s="72"/>
      <c r="BT29" s="72"/>
      <c r="BU29" s="72"/>
      <c r="BV29" s="517"/>
      <c r="BW29" s="518"/>
      <c r="BX29" s="518"/>
      <c r="BY29" s="518"/>
      <c r="BZ29" s="518"/>
      <c r="CA29" s="72"/>
      <c r="CB29" s="72"/>
      <c r="CC29" s="72"/>
      <c r="CD29" s="518"/>
      <c r="CE29" s="72"/>
      <c r="CF29" s="72"/>
      <c r="CG29" s="72"/>
      <c r="CH29" s="518"/>
      <c r="CI29" s="518"/>
      <c r="CJ29" s="521"/>
    </row>
    <row r="30" hidden="1">
      <c r="A30" s="590"/>
      <c r="B30" s="514" t="s">
        <v>1758</v>
      </c>
      <c r="C30" s="522">
        <v>0.802</v>
      </c>
      <c r="D30" s="72"/>
      <c r="E30" s="72" t="s">
        <v>1759</v>
      </c>
      <c r="F30" s="72"/>
      <c r="G30" s="72" t="s">
        <v>1142</v>
      </c>
      <c r="H30" s="72"/>
      <c r="I30" s="72" t="s">
        <v>1760</v>
      </c>
      <c r="J30" s="72"/>
      <c r="K30" s="72">
        <v>0.648</v>
      </c>
      <c r="L30" s="72"/>
      <c r="M30" s="72" t="s">
        <v>1761</v>
      </c>
      <c r="N30" s="72"/>
      <c r="O30" s="72">
        <v>0.443</v>
      </c>
      <c r="P30" s="72"/>
      <c r="Q30" s="72" t="s">
        <v>1762</v>
      </c>
      <c r="R30" s="72"/>
      <c r="S30" s="72">
        <v>0.827</v>
      </c>
      <c r="T30" s="72"/>
      <c r="U30" s="72" t="s">
        <v>1763</v>
      </c>
      <c r="V30" s="72"/>
      <c r="W30" s="72"/>
      <c r="X30" s="72"/>
      <c r="Y30" s="72"/>
      <c r="Z30" s="72"/>
      <c r="AA30" s="517"/>
      <c r="AB30" s="518"/>
      <c r="AC30" s="518"/>
      <c r="AD30" s="518" t="s">
        <v>1764</v>
      </c>
      <c r="AE30" s="518"/>
      <c r="AF30" s="518"/>
      <c r="AG30" s="518"/>
      <c r="AH30" s="518"/>
      <c r="AI30" s="520"/>
      <c r="AJ30" s="521"/>
      <c r="AK30" s="522"/>
      <c r="AL30" s="72"/>
      <c r="AM30" s="72"/>
      <c r="AN30" s="72"/>
      <c r="AO30" s="72"/>
      <c r="AP30" s="72"/>
      <c r="AQ30" s="72"/>
      <c r="AR30" s="72"/>
      <c r="AS30" s="72"/>
      <c r="AU30" s="522"/>
      <c r="AV30" s="72"/>
      <c r="AW30" s="72"/>
      <c r="AX30" s="72"/>
      <c r="AY30" s="72"/>
      <c r="AZ30" s="72"/>
      <c r="BA30" s="518"/>
      <c r="BB30" s="72"/>
      <c r="BC30" s="72"/>
      <c r="BD30" s="518"/>
      <c r="BE30" s="518"/>
      <c r="BF30" s="521"/>
      <c r="BG30" s="642"/>
      <c r="BH30" s="642"/>
      <c r="BI30" s="642"/>
      <c r="BJ30" s="642"/>
      <c r="BK30" s="642"/>
      <c r="BL30" s="642"/>
      <c r="BM30" s="522"/>
      <c r="BN30" s="72"/>
      <c r="BO30" s="72"/>
      <c r="BP30" s="72"/>
      <c r="BQ30" s="72"/>
      <c r="BR30" s="72"/>
      <c r="BS30" s="72"/>
      <c r="BT30" s="72"/>
      <c r="BU30" s="72"/>
      <c r="BV30" s="517"/>
      <c r="BW30" s="518"/>
      <c r="BX30" s="518"/>
      <c r="BY30" s="518"/>
      <c r="BZ30" s="518"/>
      <c r="CA30" s="72"/>
      <c r="CB30" s="72"/>
      <c r="CC30" s="72"/>
      <c r="CD30" s="518"/>
      <c r="CE30" s="72"/>
      <c r="CF30" s="72"/>
      <c r="CG30" s="72"/>
      <c r="CH30" s="518"/>
      <c r="CI30" s="518"/>
      <c r="CJ30" s="521"/>
    </row>
    <row r="31" hidden="1">
      <c r="A31" s="590"/>
      <c r="B31" s="514" t="s">
        <v>1765</v>
      </c>
      <c r="C31" s="522">
        <v>0.829</v>
      </c>
      <c r="D31" s="72"/>
      <c r="E31" s="72" t="s">
        <v>1766</v>
      </c>
      <c r="F31" s="527" t="s">
        <v>1767</v>
      </c>
      <c r="G31" s="72">
        <v>0.708</v>
      </c>
      <c r="H31" s="72"/>
      <c r="I31" s="72" t="s">
        <v>1768</v>
      </c>
      <c r="J31" s="527" t="s">
        <v>1769</v>
      </c>
      <c r="K31" s="72">
        <v>0.693</v>
      </c>
      <c r="L31" s="72"/>
      <c r="M31" s="72" t="s">
        <v>1770</v>
      </c>
      <c r="N31" s="72" t="s">
        <v>1771</v>
      </c>
      <c r="O31" s="72">
        <v>0.431</v>
      </c>
      <c r="P31" s="72"/>
      <c r="Q31" s="72" t="s">
        <v>1772</v>
      </c>
      <c r="R31" s="72"/>
      <c r="S31" s="72">
        <v>0.827</v>
      </c>
      <c r="T31" s="72"/>
      <c r="U31" s="72" t="s">
        <v>1773</v>
      </c>
      <c r="V31" s="72" t="s">
        <v>1774</v>
      </c>
      <c r="W31" s="72"/>
      <c r="X31" s="72"/>
      <c r="Y31" s="72"/>
      <c r="Z31" s="72"/>
      <c r="AA31" s="517"/>
      <c r="AB31" s="518" t="s">
        <v>1775</v>
      </c>
      <c r="AC31" s="518"/>
      <c r="AD31" s="518"/>
      <c r="AE31" s="518"/>
      <c r="AF31" s="518"/>
      <c r="AG31" s="518"/>
      <c r="AH31" s="518"/>
      <c r="AI31" s="520"/>
      <c r="AJ31" s="521" t="s">
        <v>1776</v>
      </c>
      <c r="AK31" s="522"/>
      <c r="AL31" s="72" t="s">
        <v>1777</v>
      </c>
      <c r="AM31" s="72"/>
      <c r="AN31" s="72" t="s">
        <v>1778</v>
      </c>
      <c r="AO31" s="72"/>
      <c r="AP31" s="72" t="s">
        <v>1779</v>
      </c>
      <c r="AQ31" s="72"/>
      <c r="AR31" s="72" t="s">
        <v>1780</v>
      </c>
      <c r="AS31" s="72"/>
      <c r="AT31" s="142" t="s">
        <v>1781</v>
      </c>
      <c r="AU31" s="522" t="s">
        <v>1782</v>
      </c>
      <c r="AV31" s="72" t="s">
        <v>1783</v>
      </c>
      <c r="AW31" s="72" t="s">
        <v>1784</v>
      </c>
      <c r="AX31" s="72" t="s">
        <v>1785</v>
      </c>
      <c r="AY31" s="72" t="s">
        <v>1786</v>
      </c>
      <c r="AZ31" s="531" t="s">
        <v>1784</v>
      </c>
      <c r="BA31" s="518">
        <v>0.87</v>
      </c>
      <c r="BB31" s="72" t="s">
        <v>1787</v>
      </c>
      <c r="BC31" s="72" t="s">
        <v>1788</v>
      </c>
      <c r="BD31" s="518"/>
      <c r="BE31" s="518"/>
      <c r="BF31" s="521"/>
      <c r="BG31" s="642"/>
      <c r="BH31" s="642"/>
      <c r="BI31" s="642"/>
      <c r="BJ31" s="642"/>
      <c r="BK31" s="642"/>
      <c r="BL31" s="642"/>
      <c r="BM31" s="522"/>
      <c r="BN31" s="72"/>
      <c r="BO31" s="72"/>
      <c r="BP31" s="72"/>
      <c r="BQ31" s="72"/>
      <c r="BR31" s="72"/>
      <c r="BS31" s="72"/>
      <c r="BT31" s="72"/>
      <c r="BU31" s="72"/>
      <c r="BV31" s="517"/>
      <c r="BW31" s="518"/>
      <c r="BX31" s="518"/>
      <c r="BY31" s="518"/>
      <c r="BZ31" s="518"/>
      <c r="CA31" s="72" t="s">
        <v>1789</v>
      </c>
      <c r="CB31" s="72"/>
      <c r="CC31" s="72" t="s">
        <v>1790</v>
      </c>
      <c r="CD31" s="518"/>
      <c r="CE31" s="72" t="s">
        <v>1791</v>
      </c>
      <c r="CF31" s="72"/>
      <c r="CG31" s="72"/>
      <c r="CH31" s="518"/>
      <c r="CI31" s="518"/>
      <c r="CJ31" s="521"/>
    </row>
    <row r="32" hidden="1">
      <c r="A32" s="590"/>
      <c r="B32" s="514" t="s">
        <v>1792</v>
      </c>
      <c r="C32" s="522"/>
      <c r="D32" s="72"/>
      <c r="E32" s="72"/>
      <c r="F32" s="527"/>
      <c r="G32" s="72"/>
      <c r="H32" s="72"/>
      <c r="I32" s="72"/>
      <c r="J32" s="527"/>
      <c r="K32" s="72"/>
      <c r="L32" s="72"/>
      <c r="M32" s="72" t="s">
        <v>1793</v>
      </c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517"/>
      <c r="AB32" s="518"/>
      <c r="AC32" s="518"/>
      <c r="AD32" s="518"/>
      <c r="AE32" s="518"/>
      <c r="AF32" s="518"/>
      <c r="AG32" s="518"/>
      <c r="AH32" s="518"/>
      <c r="AI32" s="520"/>
      <c r="AJ32" s="521"/>
      <c r="AK32" s="522"/>
      <c r="AL32" s="72"/>
      <c r="AM32" s="72"/>
      <c r="AN32" s="72"/>
      <c r="AO32" s="72"/>
      <c r="AP32" s="72"/>
      <c r="AQ32" s="72"/>
      <c r="AR32" s="72"/>
      <c r="AS32" s="72"/>
      <c r="AT32" s="142"/>
      <c r="AU32" s="522"/>
      <c r="AV32" s="72"/>
      <c r="AW32" s="72"/>
      <c r="AX32" s="72"/>
      <c r="AY32" s="72"/>
      <c r="AZ32" s="531"/>
      <c r="BA32" s="518"/>
      <c r="BB32" s="72"/>
      <c r="BC32" s="72"/>
      <c r="BD32" s="518"/>
      <c r="BE32" s="518"/>
      <c r="BF32" s="521"/>
      <c r="BG32" s="642"/>
      <c r="BH32" s="642"/>
      <c r="BI32" s="642"/>
      <c r="BJ32" s="642"/>
      <c r="BK32" s="642"/>
      <c r="BL32" s="642"/>
      <c r="BM32" s="522"/>
      <c r="BN32" s="72"/>
      <c r="BO32" s="72"/>
      <c r="BP32" s="72"/>
      <c r="BQ32" s="72"/>
      <c r="BR32" s="72"/>
      <c r="BS32" s="72"/>
      <c r="BT32" s="72"/>
      <c r="BU32" s="72"/>
      <c r="BV32" s="517"/>
      <c r="BW32" s="518"/>
      <c r="BX32" s="518"/>
      <c r="BY32" s="518"/>
      <c r="BZ32" s="518"/>
      <c r="CA32" s="72"/>
      <c r="CB32" s="72"/>
      <c r="CC32" s="72"/>
      <c r="CD32" s="518"/>
      <c r="CE32" s="72"/>
      <c r="CF32" s="72"/>
      <c r="CG32" s="72"/>
      <c r="CH32" s="518"/>
      <c r="CI32" s="518"/>
      <c r="CJ32" s="521"/>
    </row>
    <row r="33" hidden="1">
      <c r="A33" s="590"/>
      <c r="B33" s="660" t="s">
        <v>1794</v>
      </c>
      <c r="C33" s="522">
        <v>0.92</v>
      </c>
      <c r="D33" s="531"/>
      <c r="E33" s="531" t="s">
        <v>1795</v>
      </c>
      <c r="F33" s="72" t="s">
        <v>1796</v>
      </c>
      <c r="G33" s="531">
        <v>0.81</v>
      </c>
      <c r="H33" s="531"/>
      <c r="I33" s="531" t="s">
        <v>1797</v>
      </c>
      <c r="J33" s="72" t="s">
        <v>1798</v>
      </c>
      <c r="K33" s="72">
        <v>0.736</v>
      </c>
      <c r="L33" s="72"/>
      <c r="M33" s="72" t="s">
        <v>1799</v>
      </c>
      <c r="N33" s="72" t="s">
        <v>1800</v>
      </c>
      <c r="O33" s="72">
        <v>0.628</v>
      </c>
      <c r="P33" s="72"/>
      <c r="Q33" s="72" t="s">
        <v>1801</v>
      </c>
      <c r="R33" s="72" t="s">
        <v>1802</v>
      </c>
      <c r="S33" s="72">
        <v>0.842</v>
      </c>
      <c r="T33" s="72"/>
      <c r="U33" s="72" t="s">
        <v>1803</v>
      </c>
      <c r="V33" s="72" t="s">
        <v>1804</v>
      </c>
      <c r="W33" s="72"/>
      <c r="X33" s="72"/>
      <c r="Y33" s="72"/>
      <c r="Z33" s="72"/>
      <c r="AA33" s="517">
        <v>0.518</v>
      </c>
      <c r="AB33" s="518" t="s">
        <v>1805</v>
      </c>
      <c r="AC33" s="518">
        <v>0.004</v>
      </c>
      <c r="AD33" s="518" t="s">
        <v>1806</v>
      </c>
      <c r="AE33" s="518"/>
      <c r="AF33" s="518"/>
      <c r="AG33" s="518"/>
      <c r="AH33" s="518"/>
      <c r="AI33" s="520"/>
      <c r="AJ33" s="521" t="s">
        <v>1807</v>
      </c>
      <c r="AK33" s="522"/>
      <c r="AL33" s="72" t="s">
        <v>1808</v>
      </c>
      <c r="AM33" s="72"/>
      <c r="AN33" s="72"/>
      <c r="AO33" s="72"/>
      <c r="AP33" s="72"/>
      <c r="AQ33" s="72"/>
      <c r="AR33" s="72"/>
      <c r="AS33" s="72"/>
      <c r="AT33" s="146"/>
      <c r="AU33" s="522" t="s">
        <v>1809</v>
      </c>
      <c r="AV33" s="72" t="s">
        <v>1810</v>
      </c>
      <c r="AW33" s="72" t="s">
        <v>1811</v>
      </c>
      <c r="AX33" s="72" t="s">
        <v>1812</v>
      </c>
      <c r="AY33" s="72" t="s">
        <v>1813</v>
      </c>
      <c r="AZ33" s="72" t="s">
        <v>1814</v>
      </c>
      <c r="BA33" s="518"/>
      <c r="BB33" s="72" t="s">
        <v>1815</v>
      </c>
      <c r="BC33" s="72" t="s">
        <v>1816</v>
      </c>
      <c r="BD33" s="518"/>
      <c r="BE33" s="518"/>
      <c r="BF33" s="521"/>
      <c r="BG33" s="642"/>
      <c r="BH33" s="642"/>
      <c r="BI33" s="642"/>
      <c r="BJ33" s="642"/>
      <c r="BK33" s="642"/>
      <c r="BL33" s="642"/>
      <c r="BM33" s="522"/>
      <c r="BN33" s="72"/>
      <c r="BO33" s="72"/>
      <c r="BP33" s="72"/>
      <c r="BQ33" s="72"/>
      <c r="BR33" s="72"/>
      <c r="BS33" s="72"/>
      <c r="BT33" s="72"/>
      <c r="BU33" s="72"/>
      <c r="BV33" s="517"/>
      <c r="BW33" s="518"/>
      <c r="BX33" s="518"/>
      <c r="BY33" s="518"/>
      <c r="BZ33" s="518"/>
      <c r="CA33" s="72" t="s">
        <v>1817</v>
      </c>
      <c r="CB33" s="72"/>
      <c r="CC33" s="72"/>
      <c r="CD33" s="518"/>
      <c r="CE33" s="72" t="s">
        <v>1818</v>
      </c>
      <c r="CF33" s="72"/>
      <c r="CG33" s="72" t="s">
        <v>1819</v>
      </c>
      <c r="CH33" s="518"/>
      <c r="CI33" s="518"/>
      <c r="CJ33" s="521"/>
    </row>
    <row r="34" hidden="1">
      <c r="A34" s="590"/>
      <c r="B34" s="660" t="s">
        <v>1820</v>
      </c>
      <c r="C34" s="522"/>
      <c r="D34" s="531"/>
      <c r="E34" s="531"/>
      <c r="F34" s="72"/>
      <c r="G34" s="531"/>
      <c r="H34" s="531"/>
      <c r="I34" s="531"/>
      <c r="J34" s="72"/>
      <c r="K34" s="72"/>
      <c r="L34" s="72"/>
      <c r="M34" s="72" t="s">
        <v>1821</v>
      </c>
      <c r="N34" s="72" t="s">
        <v>1822</v>
      </c>
      <c r="O34" s="72"/>
      <c r="P34" s="72"/>
      <c r="Q34" s="72" t="s">
        <v>1823</v>
      </c>
      <c r="R34" s="72" t="s">
        <v>1824</v>
      </c>
      <c r="S34" s="72"/>
      <c r="T34" s="72"/>
      <c r="U34" s="72" t="s">
        <v>1825</v>
      </c>
      <c r="V34" s="72" t="s">
        <v>1826</v>
      </c>
      <c r="W34" s="72"/>
      <c r="X34" s="72"/>
      <c r="Y34" s="72"/>
      <c r="Z34" s="72"/>
      <c r="AA34" s="517"/>
      <c r="AB34" s="518"/>
      <c r="AC34" s="518"/>
      <c r="AD34" s="518"/>
      <c r="AE34" s="518"/>
      <c r="AF34" s="518"/>
      <c r="AG34" s="518"/>
      <c r="AH34" s="518"/>
      <c r="AI34" s="520"/>
      <c r="AJ34" s="521"/>
      <c r="AK34" s="522"/>
      <c r="AL34" s="72" t="s">
        <v>1827</v>
      </c>
      <c r="AM34" s="72"/>
      <c r="AN34" s="72" t="s">
        <v>1828</v>
      </c>
      <c r="AO34" s="72"/>
      <c r="AP34" s="72"/>
      <c r="AQ34" s="72"/>
      <c r="AR34" s="72"/>
      <c r="AS34" s="72"/>
      <c r="AT34" s="146"/>
      <c r="AU34" s="522"/>
      <c r="AV34" s="636" t="s">
        <v>1829</v>
      </c>
      <c r="AW34" s="636" t="s">
        <v>1067</v>
      </c>
      <c r="AX34" s="72"/>
      <c r="AY34" s="72" t="s">
        <v>1830</v>
      </c>
      <c r="AZ34" s="72" t="s">
        <v>1831</v>
      </c>
      <c r="BA34" s="518"/>
      <c r="BB34" s="72" t="s">
        <v>1832</v>
      </c>
      <c r="BC34" s="72" t="s">
        <v>1833</v>
      </c>
      <c r="BD34" s="518"/>
      <c r="BE34" s="518"/>
      <c r="BF34" s="521"/>
      <c r="BG34" s="642"/>
      <c r="BH34" s="642"/>
      <c r="BI34" s="642"/>
      <c r="BJ34" s="642"/>
      <c r="BK34" s="642"/>
      <c r="BL34" s="642"/>
      <c r="BM34" s="522"/>
      <c r="BN34" s="72"/>
      <c r="BO34" s="72"/>
      <c r="BP34" s="72"/>
      <c r="BQ34" s="72"/>
      <c r="BR34" s="72"/>
      <c r="BS34" s="72"/>
      <c r="BT34" s="72"/>
      <c r="BU34" s="72"/>
      <c r="BV34" s="517"/>
      <c r="BW34" s="518"/>
      <c r="BX34" s="518"/>
      <c r="BY34" s="518"/>
      <c r="BZ34" s="518"/>
      <c r="CA34" s="72" t="s">
        <v>1834</v>
      </c>
      <c r="CB34" s="72"/>
      <c r="CC34" s="72"/>
      <c r="CD34" s="518"/>
      <c r="CE34" s="72"/>
      <c r="CF34" s="72"/>
      <c r="CG34" s="72"/>
      <c r="CH34" s="518"/>
      <c r="CI34" s="518"/>
      <c r="CJ34" s="521"/>
    </row>
    <row r="35" hidden="1">
      <c r="A35" s="590"/>
      <c r="B35" s="514" t="s">
        <v>1835</v>
      </c>
      <c r="C35" s="25"/>
      <c r="D35" s="72"/>
      <c r="E35" s="72" t="s">
        <v>1836</v>
      </c>
      <c r="F35" s="72"/>
      <c r="G35" s="72" t="s">
        <v>1142</v>
      </c>
      <c r="H35" s="72"/>
      <c r="I35" s="72" t="s">
        <v>1837</v>
      </c>
      <c r="J35" s="72"/>
      <c r="K35" s="26"/>
      <c r="L35" s="26"/>
      <c r="M35" s="26"/>
      <c r="N35" s="72"/>
      <c r="O35" s="26"/>
      <c r="P35" s="72"/>
      <c r="Q35" s="72" t="s">
        <v>1838</v>
      </c>
      <c r="R35" s="72"/>
      <c r="S35" s="72"/>
      <c r="T35" s="72"/>
      <c r="U35" s="72" t="s">
        <v>1839</v>
      </c>
      <c r="V35" s="72"/>
      <c r="W35" s="72"/>
      <c r="X35" s="72"/>
      <c r="Y35" s="72"/>
      <c r="Z35" s="72"/>
      <c r="AA35" s="517"/>
      <c r="AB35" s="518"/>
      <c r="AC35" s="518"/>
      <c r="AD35" s="518"/>
      <c r="AE35" s="518"/>
      <c r="AF35" s="518"/>
      <c r="AG35" s="518"/>
      <c r="AH35" s="518"/>
      <c r="AI35" s="520"/>
      <c r="AJ35" s="521"/>
      <c r="AK35" s="522"/>
      <c r="AL35" s="72"/>
      <c r="AM35" s="72"/>
      <c r="AN35" s="72"/>
      <c r="AO35" s="72"/>
      <c r="AP35" s="72"/>
      <c r="AQ35" s="72"/>
      <c r="AR35" s="72"/>
      <c r="AS35" s="72"/>
      <c r="AT35" s="146"/>
      <c r="AU35" s="522"/>
      <c r="AV35" s="72"/>
      <c r="AW35" s="72"/>
      <c r="AX35" s="72"/>
      <c r="AY35" s="72"/>
      <c r="AZ35" s="72"/>
      <c r="BA35" s="518"/>
      <c r="BB35" s="72"/>
      <c r="BC35" s="72"/>
      <c r="BD35" s="518"/>
      <c r="BE35" s="518"/>
      <c r="BF35" s="521"/>
      <c r="BG35" s="642"/>
      <c r="BH35" s="642"/>
      <c r="BI35" s="642"/>
      <c r="BJ35" s="642"/>
      <c r="BK35" s="642"/>
      <c r="BL35" s="642"/>
      <c r="BM35" s="522"/>
      <c r="BN35" s="72"/>
      <c r="BO35" s="72"/>
      <c r="BP35" s="72"/>
      <c r="BQ35" s="72"/>
      <c r="BR35" s="72"/>
      <c r="BS35" s="72"/>
      <c r="BT35" s="72"/>
      <c r="BU35" s="72"/>
      <c r="BV35" s="517"/>
      <c r="BW35" s="518"/>
      <c r="BX35" s="518"/>
      <c r="BY35" s="518"/>
      <c r="BZ35" s="518"/>
      <c r="CA35" s="72"/>
      <c r="CB35" s="72"/>
      <c r="CC35" s="72"/>
      <c r="CD35" s="518"/>
      <c r="CE35" s="72"/>
      <c r="CF35" s="72"/>
      <c r="CG35" s="72"/>
      <c r="CH35" s="518"/>
      <c r="CI35" s="518"/>
      <c r="CJ35" s="521"/>
    </row>
    <row r="36">
      <c r="A36" s="590"/>
      <c r="B36" s="514" t="s">
        <v>540</v>
      </c>
      <c r="C36" s="522">
        <v>0.855</v>
      </c>
      <c r="D36" s="72"/>
      <c r="E36" s="72" t="s">
        <v>1365</v>
      </c>
      <c r="F36" s="72" t="s">
        <v>1366</v>
      </c>
      <c r="G36" s="72">
        <v>0.266</v>
      </c>
      <c r="H36" s="72"/>
      <c r="I36" s="72" t="s">
        <v>1367</v>
      </c>
      <c r="J36" s="72" t="s">
        <v>1368</v>
      </c>
      <c r="K36" s="72">
        <v>0.8</v>
      </c>
      <c r="L36" s="72"/>
      <c r="M36" s="72" t="s">
        <v>1369</v>
      </c>
      <c r="N36" s="72" t="s">
        <v>1370</v>
      </c>
      <c r="O36" s="72">
        <v>0.654</v>
      </c>
      <c r="P36" s="72"/>
      <c r="Q36" s="72" t="s">
        <v>1371</v>
      </c>
      <c r="R36" s="72" t="s">
        <v>1372</v>
      </c>
      <c r="S36" s="72">
        <v>0.784</v>
      </c>
      <c r="T36" s="72"/>
      <c r="U36" s="72" t="s">
        <v>1373</v>
      </c>
      <c r="V36" s="72" t="s">
        <v>1374</v>
      </c>
      <c r="W36" s="72"/>
      <c r="X36" s="72"/>
      <c r="Y36" s="72"/>
      <c r="Z36" s="72"/>
      <c r="AA36" s="517">
        <v>0.418</v>
      </c>
      <c r="AB36" s="518" t="s">
        <v>1377</v>
      </c>
      <c r="AC36" s="518">
        <v>0.086</v>
      </c>
      <c r="AD36" s="224" t="s">
        <v>1378</v>
      </c>
      <c r="AE36" s="518">
        <v>0.534</v>
      </c>
      <c r="AF36" s="518" t="s">
        <v>1379</v>
      </c>
      <c r="AG36" s="518"/>
      <c r="AH36" s="518"/>
      <c r="AI36" s="520">
        <v>0.263</v>
      </c>
      <c r="AJ36" s="521" t="s">
        <v>1381</v>
      </c>
      <c r="AK36" s="522"/>
      <c r="AL36" s="72" t="s">
        <v>1382</v>
      </c>
      <c r="AM36" s="72"/>
      <c r="AN36" s="72" t="s">
        <v>1383</v>
      </c>
      <c r="AO36" s="72"/>
      <c r="AP36" s="72" t="s">
        <v>1384</v>
      </c>
      <c r="AQ36" s="72"/>
      <c r="AR36" s="72" t="s">
        <v>1385</v>
      </c>
      <c r="AS36" s="72"/>
      <c r="AT36" s="146" t="s">
        <v>1386</v>
      </c>
      <c r="AU36" s="522"/>
      <c r="AV36" s="72" t="s">
        <v>1387</v>
      </c>
      <c r="AW36" s="72" t="s">
        <v>1388</v>
      </c>
      <c r="AX36" s="72"/>
      <c r="AY36" s="72" t="s">
        <v>1086</v>
      </c>
      <c r="AZ36" s="72" t="s">
        <v>1389</v>
      </c>
      <c r="BA36" s="518"/>
      <c r="BB36" s="72" t="s">
        <v>1390</v>
      </c>
      <c r="BC36" s="72" t="s">
        <v>1391</v>
      </c>
      <c r="BD36" s="518"/>
      <c r="BE36" s="518" t="s">
        <v>1840</v>
      </c>
      <c r="BF36" s="521" t="s">
        <v>1841</v>
      </c>
      <c r="BG36" s="642"/>
      <c r="BH36" s="642"/>
      <c r="BI36" s="642"/>
      <c r="BJ36" s="642"/>
      <c r="BK36" s="642"/>
      <c r="BL36" s="642"/>
      <c r="BM36" s="522"/>
      <c r="BN36" s="72"/>
      <c r="BO36" s="72"/>
      <c r="BP36" s="72"/>
      <c r="BQ36" s="72"/>
      <c r="BR36" s="72"/>
      <c r="BS36" s="72"/>
      <c r="BT36" s="72"/>
      <c r="BU36" s="72"/>
      <c r="BV36" s="517"/>
      <c r="BW36" s="508" t="s">
        <v>1394</v>
      </c>
      <c r="BX36" s="508" t="s">
        <v>1395</v>
      </c>
      <c r="BY36" s="508" t="s">
        <v>1396</v>
      </c>
      <c r="BZ36" s="508"/>
      <c r="CA36" s="510" t="s">
        <v>1397</v>
      </c>
      <c r="CB36" s="510" t="s">
        <v>1398</v>
      </c>
      <c r="CC36" s="510" t="s">
        <v>1399</v>
      </c>
      <c r="CD36" s="508"/>
      <c r="CE36" s="510" t="s">
        <v>1400</v>
      </c>
      <c r="CF36" s="510" t="s">
        <v>1401</v>
      </c>
      <c r="CG36" s="510" t="s">
        <v>1402</v>
      </c>
      <c r="CH36" s="508">
        <v>0.957</v>
      </c>
      <c r="CI36" s="508" t="s">
        <v>1403</v>
      </c>
      <c r="CJ36" s="526" t="s">
        <v>1404</v>
      </c>
    </row>
    <row r="37">
      <c r="A37" s="590"/>
      <c r="B37" s="514" t="s">
        <v>567</v>
      </c>
      <c r="C37" s="522">
        <v>0.823</v>
      </c>
      <c r="D37" s="72"/>
      <c r="E37" s="72" t="s">
        <v>1405</v>
      </c>
      <c r="F37" s="72" t="s">
        <v>1406</v>
      </c>
      <c r="G37" s="72">
        <v>0.33</v>
      </c>
      <c r="H37" s="72"/>
      <c r="I37" s="72" t="s">
        <v>1407</v>
      </c>
      <c r="J37" s="72" t="s">
        <v>1408</v>
      </c>
      <c r="K37" s="72">
        <v>0.758</v>
      </c>
      <c r="L37" s="72"/>
      <c r="M37" s="72" t="s">
        <v>1409</v>
      </c>
      <c r="N37" s="72" t="s">
        <v>1410</v>
      </c>
      <c r="O37" s="72">
        <v>0.639</v>
      </c>
      <c r="P37" s="72"/>
      <c r="Q37" s="72" t="s">
        <v>1411</v>
      </c>
      <c r="R37" s="72" t="s">
        <v>1412</v>
      </c>
      <c r="S37" s="72">
        <v>0.863</v>
      </c>
      <c r="T37" s="72"/>
      <c r="U37" s="72" t="s">
        <v>1413</v>
      </c>
      <c r="V37" s="72" t="s">
        <v>1414</v>
      </c>
      <c r="W37" s="72"/>
      <c r="X37" s="72"/>
      <c r="Y37" s="72"/>
      <c r="Z37" s="72"/>
      <c r="AA37" s="517">
        <v>0.428</v>
      </c>
      <c r="AB37" s="518" t="s">
        <v>1417</v>
      </c>
      <c r="AC37" s="518">
        <v>0.087</v>
      </c>
      <c r="AD37" s="518" t="s">
        <v>1418</v>
      </c>
      <c r="AE37" s="518">
        <v>0.571</v>
      </c>
      <c r="AF37" s="518" t="s">
        <v>1419</v>
      </c>
      <c r="AG37" s="518"/>
      <c r="AH37" s="518"/>
      <c r="AI37" s="520">
        <v>0.389</v>
      </c>
      <c r="AJ37" s="521" t="s">
        <v>1421</v>
      </c>
      <c r="AK37" s="522"/>
      <c r="AL37" s="72" t="s">
        <v>1422</v>
      </c>
      <c r="AM37" s="72"/>
      <c r="AN37" s="72" t="s">
        <v>1423</v>
      </c>
      <c r="AO37" s="72"/>
      <c r="AP37" s="72"/>
      <c r="AQ37" s="72"/>
      <c r="AS37" s="72"/>
      <c r="AT37" s="146"/>
      <c r="AU37" s="522">
        <v>0.742</v>
      </c>
      <c r="AV37" s="72" t="s">
        <v>1427</v>
      </c>
      <c r="AW37" s="72" t="s">
        <v>1428</v>
      </c>
      <c r="AX37" s="72">
        <v>0.841</v>
      </c>
      <c r="AY37" s="72" t="s">
        <v>1429</v>
      </c>
      <c r="AZ37" s="72" t="s">
        <v>1430</v>
      </c>
      <c r="BA37" s="518"/>
      <c r="BB37" s="72" t="s">
        <v>1842</v>
      </c>
      <c r="BC37" s="72" t="s">
        <v>1432</v>
      </c>
      <c r="BD37" s="518"/>
      <c r="BE37" s="518"/>
      <c r="BF37" s="521"/>
      <c r="BG37" s="642"/>
      <c r="BH37" s="642"/>
      <c r="BI37" s="642"/>
      <c r="BJ37" s="642"/>
      <c r="BK37" s="642"/>
      <c r="BL37" s="642"/>
      <c r="BM37" s="522"/>
      <c r="BN37" s="72"/>
      <c r="BO37" s="72"/>
      <c r="BP37" s="72"/>
      <c r="BQ37" s="72"/>
      <c r="BR37" s="72"/>
      <c r="BS37" s="72"/>
      <c r="BT37" s="72"/>
      <c r="BU37" s="72"/>
      <c r="BV37" s="517"/>
      <c r="BW37" s="518" t="s">
        <v>1435</v>
      </c>
      <c r="BX37" s="518" t="s">
        <v>1436</v>
      </c>
      <c r="BY37" s="518" t="s">
        <v>1437</v>
      </c>
      <c r="BZ37" s="518"/>
      <c r="CA37" s="72" t="s">
        <v>1438</v>
      </c>
      <c r="CB37" s="72" t="s">
        <v>1439</v>
      </c>
      <c r="CC37" s="72" t="s">
        <v>1440</v>
      </c>
      <c r="CD37" s="518"/>
      <c r="CE37" s="72" t="s">
        <v>1441</v>
      </c>
      <c r="CF37" s="72" t="s">
        <v>1442</v>
      </c>
      <c r="CG37" s="72" t="s">
        <v>1443</v>
      </c>
      <c r="CH37" s="518">
        <v>0.914</v>
      </c>
      <c r="CI37" s="518" t="s">
        <v>1444</v>
      </c>
      <c r="CJ37" s="521" t="s">
        <v>1445</v>
      </c>
    </row>
    <row r="38" hidden="1">
      <c r="A38" s="590"/>
      <c r="B38" s="514" t="s">
        <v>1843</v>
      </c>
      <c r="C38" s="25"/>
      <c r="D38" s="72"/>
      <c r="E38" s="72" t="s">
        <v>1844</v>
      </c>
      <c r="F38" s="72"/>
      <c r="G38" s="72"/>
      <c r="H38" s="72"/>
      <c r="I38" s="72" t="s">
        <v>1845</v>
      </c>
      <c r="J38" s="72" t="s">
        <v>1846</v>
      </c>
      <c r="K38" s="26"/>
      <c r="L38" s="72"/>
      <c r="M38" s="72" t="s">
        <v>1847</v>
      </c>
      <c r="N38" s="72" t="s">
        <v>1848</v>
      </c>
      <c r="O38" s="26"/>
      <c r="P38" s="72"/>
      <c r="Q38" s="72" t="s">
        <v>1849</v>
      </c>
      <c r="R38" s="72" t="s">
        <v>1850</v>
      </c>
      <c r="S38" s="72"/>
      <c r="T38" s="72"/>
      <c r="U38" s="72" t="s">
        <v>1851</v>
      </c>
      <c r="V38" s="72"/>
      <c r="W38" s="72"/>
      <c r="X38" s="72"/>
      <c r="Y38" s="72"/>
      <c r="Z38" s="72"/>
      <c r="AA38" s="517"/>
      <c r="AB38" s="518"/>
      <c r="AC38" s="518"/>
      <c r="AD38" s="518" t="s">
        <v>1852</v>
      </c>
      <c r="AE38" s="518"/>
      <c r="AF38" s="518" t="s">
        <v>1853</v>
      </c>
      <c r="AG38" s="518"/>
      <c r="AH38" s="518"/>
      <c r="AI38" s="520"/>
      <c r="AJ38" s="521"/>
      <c r="AK38" s="522"/>
      <c r="AL38" s="72"/>
      <c r="AM38" s="72"/>
      <c r="AN38" s="72"/>
      <c r="AO38" s="72"/>
      <c r="AP38" s="72"/>
      <c r="AQ38" s="72"/>
      <c r="AR38" s="72"/>
      <c r="AS38" s="72"/>
      <c r="AT38" s="146"/>
      <c r="AU38" s="522"/>
      <c r="AV38" s="72"/>
      <c r="AW38" s="72"/>
      <c r="AX38" s="72"/>
      <c r="AY38" s="72"/>
      <c r="AZ38" s="72"/>
      <c r="BA38" s="518"/>
      <c r="BB38" s="72"/>
      <c r="BC38" s="72"/>
      <c r="BD38" s="518"/>
      <c r="BE38" s="518"/>
      <c r="BF38" s="521"/>
      <c r="BG38" s="642"/>
      <c r="BH38" s="642"/>
      <c r="BI38" s="642"/>
      <c r="BJ38" s="642"/>
      <c r="BK38" s="642"/>
      <c r="BL38" s="642"/>
      <c r="BM38" s="522"/>
      <c r="BN38" s="72"/>
      <c r="BO38" s="72"/>
      <c r="BP38" s="72"/>
      <c r="BQ38" s="72"/>
      <c r="BR38" s="72"/>
      <c r="BS38" s="72"/>
      <c r="BT38" s="72"/>
      <c r="BU38" s="72"/>
      <c r="BV38" s="517"/>
      <c r="BW38" s="518"/>
      <c r="BX38" s="518"/>
      <c r="BY38" s="518"/>
      <c r="BZ38" s="518"/>
      <c r="CA38" s="72"/>
      <c r="CB38" s="72"/>
      <c r="CC38" s="72"/>
      <c r="CD38" s="518"/>
      <c r="CE38" s="72"/>
      <c r="CF38" s="72"/>
      <c r="CG38" s="72"/>
      <c r="CH38" s="518"/>
      <c r="CI38" s="518"/>
      <c r="CJ38" s="521"/>
    </row>
    <row r="39">
      <c r="A39" s="590"/>
      <c r="B39" s="514" t="s">
        <v>598</v>
      </c>
      <c r="C39" s="522">
        <v>0.873</v>
      </c>
      <c r="D39" s="72"/>
      <c r="E39" s="72" t="s">
        <v>1446</v>
      </c>
      <c r="F39" s="72" t="s">
        <v>1447</v>
      </c>
      <c r="G39" s="72">
        <v>0.326</v>
      </c>
      <c r="H39" s="72"/>
      <c r="I39" s="72" t="s">
        <v>1448</v>
      </c>
      <c r="J39" s="72" t="s">
        <v>1449</v>
      </c>
      <c r="K39" s="72">
        <v>0.791</v>
      </c>
      <c r="L39" s="72"/>
      <c r="M39" s="72" t="s">
        <v>1450</v>
      </c>
      <c r="N39" s="72" t="s">
        <v>1451</v>
      </c>
      <c r="O39" s="72">
        <v>0.655</v>
      </c>
      <c r="P39" s="72"/>
      <c r="Q39" s="72" t="s">
        <v>1452</v>
      </c>
      <c r="R39" s="72" t="s">
        <v>1453</v>
      </c>
      <c r="S39" s="72">
        <v>0.755</v>
      </c>
      <c r="T39" s="72"/>
      <c r="U39" s="72" t="s">
        <v>1454</v>
      </c>
      <c r="V39" s="72" t="s">
        <v>1455</v>
      </c>
      <c r="W39" s="72">
        <v>0.855</v>
      </c>
      <c r="X39" s="72"/>
      <c r="Y39" s="72"/>
      <c r="Z39" s="72"/>
      <c r="AA39" s="517">
        <v>0.475</v>
      </c>
      <c r="AB39" s="518" t="s">
        <v>1458</v>
      </c>
      <c r="AC39" s="518">
        <v>0.103</v>
      </c>
      <c r="AD39" s="518" t="s">
        <v>1459</v>
      </c>
      <c r="AE39" s="518">
        <v>0.569</v>
      </c>
      <c r="AF39" s="518" t="s">
        <v>1460</v>
      </c>
      <c r="AG39" s="518">
        <v>0.149</v>
      </c>
      <c r="AH39" s="518" t="s">
        <v>1461</v>
      </c>
      <c r="AI39" s="520">
        <v>0.275</v>
      </c>
      <c r="AJ39" s="521" t="s">
        <v>1462</v>
      </c>
      <c r="AK39" s="522"/>
      <c r="AL39" s="72" t="s">
        <v>1463</v>
      </c>
      <c r="AM39" s="72"/>
      <c r="AN39" s="72" t="s">
        <v>870</v>
      </c>
      <c r="AO39" s="72"/>
      <c r="AP39" s="72" t="s">
        <v>871</v>
      </c>
      <c r="AQ39" s="72"/>
      <c r="AR39" s="72" t="s">
        <v>872</v>
      </c>
      <c r="AS39" s="72"/>
      <c r="AT39" s="142" t="s">
        <v>873</v>
      </c>
      <c r="AU39" s="522">
        <v>0.792</v>
      </c>
      <c r="AV39" s="72" t="s">
        <v>1464</v>
      </c>
      <c r="AW39" s="72" t="s">
        <v>1465</v>
      </c>
      <c r="AX39" s="72">
        <v>0.815</v>
      </c>
      <c r="AY39" s="72" t="s">
        <v>1466</v>
      </c>
      <c r="AZ39" s="72" t="s">
        <v>1467</v>
      </c>
      <c r="BA39" s="518"/>
      <c r="BB39" s="72" t="s">
        <v>1468</v>
      </c>
      <c r="BC39" s="72" t="s">
        <v>1469</v>
      </c>
      <c r="BD39" s="518"/>
      <c r="BE39" s="518" t="s">
        <v>1854</v>
      </c>
      <c r="BF39" s="521" t="s">
        <v>1855</v>
      </c>
      <c r="BG39" s="642"/>
      <c r="BH39" s="642"/>
      <c r="BI39" s="642"/>
      <c r="BJ39" s="642"/>
      <c r="BK39" s="642"/>
      <c r="BL39" s="642"/>
      <c r="BM39" s="522"/>
      <c r="BN39" s="72"/>
      <c r="BO39" s="72"/>
      <c r="BP39" s="72"/>
      <c r="BQ39" s="72"/>
      <c r="BR39" s="72"/>
      <c r="BS39" s="72"/>
      <c r="BT39" s="72"/>
      <c r="BU39" s="72"/>
      <c r="BV39" s="517"/>
      <c r="BW39" s="518" t="s">
        <v>1472</v>
      </c>
      <c r="BX39" s="518" t="s">
        <v>1473</v>
      </c>
      <c r="BY39" s="518" t="s">
        <v>1474</v>
      </c>
      <c r="BZ39" s="518"/>
      <c r="CA39" s="72" t="s">
        <v>1475</v>
      </c>
      <c r="CB39" s="72" t="s">
        <v>1476</v>
      </c>
      <c r="CC39" s="72" t="s">
        <v>1477</v>
      </c>
      <c r="CD39" s="518"/>
      <c r="CE39" s="72" t="s">
        <v>1478</v>
      </c>
      <c r="CF39" s="72" t="s">
        <v>1479</v>
      </c>
      <c r="CG39" s="72" t="s">
        <v>1480</v>
      </c>
      <c r="CH39" s="518">
        <v>0.929</v>
      </c>
      <c r="CI39" s="518" t="s">
        <v>1856</v>
      </c>
      <c r="CJ39" s="521" t="s">
        <v>1482</v>
      </c>
    </row>
    <row r="40">
      <c r="A40" s="590"/>
      <c r="B40" s="514" t="s">
        <v>725</v>
      </c>
      <c r="C40" s="530">
        <v>0.926</v>
      </c>
      <c r="D40" s="72"/>
      <c r="E40" s="72" t="s">
        <v>1857</v>
      </c>
      <c r="F40" s="72" t="s">
        <v>1484</v>
      </c>
      <c r="G40" s="531">
        <v>0.803</v>
      </c>
      <c r="H40" s="661">
        <v>0.784</v>
      </c>
      <c r="I40" s="72" t="s">
        <v>1485</v>
      </c>
      <c r="J40" s="72" t="s">
        <v>1858</v>
      </c>
      <c r="K40" s="72">
        <v>0.772</v>
      </c>
      <c r="L40" s="72">
        <v>0.835</v>
      </c>
      <c r="M40" s="72" t="s">
        <v>1859</v>
      </c>
      <c r="N40" s="72" t="s">
        <v>1860</v>
      </c>
      <c r="O40" s="72">
        <v>0.683</v>
      </c>
      <c r="P40" s="72">
        <v>0.747</v>
      </c>
      <c r="Q40" s="72" t="s">
        <v>1861</v>
      </c>
      <c r="R40" s="72" t="s">
        <v>1862</v>
      </c>
      <c r="S40" s="72">
        <v>0.921</v>
      </c>
      <c r="T40" s="26"/>
      <c r="U40" s="72" t="s">
        <v>1491</v>
      </c>
      <c r="V40" s="72" t="s">
        <v>1863</v>
      </c>
      <c r="W40" s="72">
        <v>0.89</v>
      </c>
      <c r="X40" s="72"/>
      <c r="Y40" s="72" t="s">
        <v>1493</v>
      </c>
      <c r="Z40" s="72" t="s">
        <v>1494</v>
      </c>
      <c r="AA40" s="517">
        <v>0.555</v>
      </c>
      <c r="AB40" s="518" t="s">
        <v>1495</v>
      </c>
      <c r="AC40" s="518">
        <v>0.118</v>
      </c>
      <c r="AD40" s="518" t="s">
        <v>1864</v>
      </c>
      <c r="AE40" s="518">
        <v>0.538</v>
      </c>
      <c r="AF40" s="518" t="s">
        <v>1865</v>
      </c>
      <c r="AG40" s="518"/>
      <c r="AH40" s="518"/>
      <c r="AI40" s="520">
        <v>0.458</v>
      </c>
      <c r="AJ40" s="521" t="s">
        <v>1866</v>
      </c>
      <c r="AK40" s="522"/>
      <c r="AL40" s="72" t="s">
        <v>1500</v>
      </c>
      <c r="AM40" s="72"/>
      <c r="AN40" s="72" t="s">
        <v>1501</v>
      </c>
      <c r="AO40" s="72"/>
      <c r="AP40" s="72" t="s">
        <v>1502</v>
      </c>
      <c r="AQ40" s="72"/>
      <c r="AR40" s="531" t="s">
        <v>1503</v>
      </c>
      <c r="AS40" s="72"/>
      <c r="AT40" s="142" t="s">
        <v>1504</v>
      </c>
      <c r="AU40" s="607">
        <v>0.839</v>
      </c>
      <c r="AV40" s="510" t="s">
        <v>1505</v>
      </c>
      <c r="AW40" s="510" t="s">
        <v>1506</v>
      </c>
      <c r="AX40" s="510">
        <v>0.892</v>
      </c>
      <c r="AY40" s="510" t="s">
        <v>1507</v>
      </c>
      <c r="AZ40" s="510" t="s">
        <v>1508</v>
      </c>
      <c r="BA40" s="508">
        <v>0.998</v>
      </c>
      <c r="BB40" s="510" t="s">
        <v>1509</v>
      </c>
      <c r="BC40" s="510" t="s">
        <v>1510</v>
      </c>
      <c r="BD40" s="518"/>
      <c r="BE40" s="518" t="s">
        <v>1867</v>
      </c>
      <c r="BF40" s="521"/>
      <c r="BG40" s="642"/>
      <c r="BH40" s="642"/>
      <c r="BI40" s="642"/>
      <c r="BJ40" s="642"/>
      <c r="BK40" s="642"/>
      <c r="BL40" s="642"/>
      <c r="BM40" s="522"/>
      <c r="BN40" s="72"/>
      <c r="BO40" s="72"/>
      <c r="BP40" s="72"/>
      <c r="BQ40" s="72"/>
      <c r="BR40" s="72"/>
      <c r="BS40" s="72"/>
      <c r="BT40" s="72"/>
      <c r="BU40" s="72"/>
      <c r="BV40" s="517"/>
      <c r="BW40" s="508" t="s">
        <v>1513</v>
      </c>
      <c r="BX40" s="508" t="s">
        <v>1514</v>
      </c>
      <c r="BY40" s="508" t="s">
        <v>1515</v>
      </c>
      <c r="BZ40" s="508"/>
      <c r="CA40" s="510" t="s">
        <v>1516</v>
      </c>
      <c r="CB40" s="510" t="s">
        <v>1517</v>
      </c>
      <c r="CC40" s="510" t="s">
        <v>1518</v>
      </c>
      <c r="CD40" s="508"/>
      <c r="CE40" s="510" t="s">
        <v>1519</v>
      </c>
      <c r="CF40" s="510" t="s">
        <v>1520</v>
      </c>
      <c r="CG40" s="510" t="s">
        <v>1521</v>
      </c>
      <c r="CH40" s="508">
        <v>0.972</v>
      </c>
      <c r="CI40" s="508" t="s">
        <v>1522</v>
      </c>
      <c r="CJ40" s="526" t="s">
        <v>1523</v>
      </c>
    </row>
    <row r="41">
      <c r="A41" s="590"/>
      <c r="B41" s="142" t="s">
        <v>726</v>
      </c>
      <c r="C41" s="72">
        <v>0.914</v>
      </c>
      <c r="D41" s="72"/>
      <c r="E41" s="72" t="s">
        <v>1868</v>
      </c>
      <c r="F41" s="72" t="s">
        <v>1525</v>
      </c>
      <c r="G41" s="72">
        <v>0.789</v>
      </c>
      <c r="I41" s="72" t="s">
        <v>1526</v>
      </c>
      <c r="J41" s="72" t="s">
        <v>1527</v>
      </c>
      <c r="K41" s="72">
        <v>0.789</v>
      </c>
      <c r="L41" s="72"/>
      <c r="M41" s="72" t="s">
        <v>1528</v>
      </c>
      <c r="N41" s="72"/>
      <c r="O41" s="26"/>
      <c r="P41" s="72"/>
      <c r="Q41" s="72" t="s">
        <v>1530</v>
      </c>
      <c r="R41" s="72"/>
      <c r="S41" s="72"/>
      <c r="T41" s="531">
        <v>0.978</v>
      </c>
      <c r="U41" s="72" t="s">
        <v>1532</v>
      </c>
      <c r="V41" s="72"/>
      <c r="W41" s="72">
        <v>0.918</v>
      </c>
      <c r="X41" s="72"/>
      <c r="Y41" s="72" t="s">
        <v>1534</v>
      </c>
      <c r="Z41" s="72"/>
      <c r="AA41" s="517">
        <v>0.566</v>
      </c>
      <c r="AB41" s="543" t="s">
        <v>1869</v>
      </c>
      <c r="AC41" s="518"/>
      <c r="AD41" s="518" t="s">
        <v>1537</v>
      </c>
      <c r="AE41" s="518"/>
      <c r="AF41" s="518" t="s">
        <v>1538</v>
      </c>
      <c r="AG41" s="518"/>
      <c r="AH41" s="518"/>
      <c r="AI41" s="520"/>
      <c r="AJ41" s="521" t="s">
        <v>1870</v>
      </c>
      <c r="AK41" s="522"/>
      <c r="AL41" s="72" t="s">
        <v>1541</v>
      </c>
      <c r="AM41" s="72"/>
      <c r="AN41" s="72" t="s">
        <v>1542</v>
      </c>
      <c r="AO41" s="72"/>
      <c r="AP41" s="72" t="s">
        <v>1543</v>
      </c>
      <c r="AQ41" s="72"/>
      <c r="AR41" s="72" t="s">
        <v>1871</v>
      </c>
      <c r="AS41" s="72"/>
      <c r="AT41" s="615" t="s">
        <v>1545</v>
      </c>
      <c r="AU41" s="607">
        <v>0.834</v>
      </c>
      <c r="AV41" s="510" t="s">
        <v>1546</v>
      </c>
      <c r="AW41" s="510" t="s">
        <v>1547</v>
      </c>
      <c r="AX41" s="510">
        <v>0.894</v>
      </c>
      <c r="AY41" s="510" t="s">
        <v>1548</v>
      </c>
      <c r="AZ41" s="510" t="s">
        <v>1549</v>
      </c>
      <c r="BA41" s="508">
        <v>0.998</v>
      </c>
      <c r="BB41" s="510" t="s">
        <v>1550</v>
      </c>
      <c r="BC41" s="510" t="s">
        <v>1551</v>
      </c>
      <c r="BD41" s="518"/>
      <c r="BE41" s="518"/>
      <c r="BF41" s="521"/>
      <c r="BG41" s="642"/>
      <c r="BH41" s="642"/>
      <c r="BI41" s="642"/>
      <c r="BJ41" s="642"/>
      <c r="BK41" s="642"/>
      <c r="BL41" s="642"/>
      <c r="BM41" s="522"/>
      <c r="BN41" s="72"/>
      <c r="BO41" s="72"/>
      <c r="BP41" s="72"/>
      <c r="BQ41" s="72"/>
      <c r="BR41" s="72"/>
      <c r="BS41" s="72"/>
      <c r="BT41" s="72"/>
      <c r="BU41" s="72"/>
      <c r="BV41" s="517"/>
      <c r="BW41" s="508" t="s">
        <v>1554</v>
      </c>
      <c r="BX41" s="535" t="s">
        <v>1555</v>
      </c>
      <c r="BY41" s="508" t="s">
        <v>1556</v>
      </c>
      <c r="BZ41" s="508"/>
      <c r="CA41" s="510" t="s">
        <v>1557</v>
      </c>
      <c r="CB41" s="510" t="s">
        <v>1558</v>
      </c>
      <c r="CC41" s="510" t="s">
        <v>1559</v>
      </c>
      <c r="CD41" s="508"/>
      <c r="CE41" s="510" t="s">
        <v>1560</v>
      </c>
      <c r="CF41" s="538" t="s">
        <v>1561</v>
      </c>
      <c r="CG41" s="510" t="s">
        <v>1562</v>
      </c>
      <c r="CH41" s="508">
        <v>0.977</v>
      </c>
      <c r="CI41" s="508" t="s">
        <v>1563</v>
      </c>
      <c r="CJ41" s="526" t="s">
        <v>1564</v>
      </c>
    </row>
    <row r="42">
      <c r="A42" s="590"/>
      <c r="B42" s="142" t="s">
        <v>727</v>
      </c>
      <c r="C42" s="26"/>
      <c r="D42" s="531"/>
      <c r="E42" s="531" t="s">
        <v>1872</v>
      </c>
      <c r="F42" s="531" t="s">
        <v>1566</v>
      </c>
      <c r="G42" s="72"/>
      <c r="H42" s="531"/>
      <c r="I42" s="531" t="s">
        <v>1567</v>
      </c>
      <c r="J42" s="531" t="s">
        <v>1568</v>
      </c>
      <c r="K42" s="26"/>
      <c r="L42" s="72"/>
      <c r="M42" s="72" t="s">
        <v>1873</v>
      </c>
      <c r="N42" s="72" t="s">
        <v>1874</v>
      </c>
      <c r="O42" s="26"/>
      <c r="P42" s="72"/>
      <c r="Q42" s="72" t="s">
        <v>1571</v>
      </c>
      <c r="R42" s="72" t="s">
        <v>1875</v>
      </c>
      <c r="S42" s="72"/>
      <c r="T42" s="72"/>
      <c r="U42" s="72" t="s">
        <v>1573</v>
      </c>
      <c r="V42" s="72" t="s">
        <v>1574</v>
      </c>
      <c r="W42" s="224">
        <v>0.778</v>
      </c>
      <c r="X42" s="72"/>
      <c r="Y42" s="224" t="s">
        <v>1575</v>
      </c>
      <c r="AA42" s="517">
        <v>0.516</v>
      </c>
      <c r="AB42" s="518" t="s">
        <v>1577</v>
      </c>
      <c r="AC42" s="518"/>
      <c r="AD42" s="518" t="s">
        <v>1578</v>
      </c>
      <c r="AE42" s="518"/>
      <c r="AF42" s="518" t="s">
        <v>1579</v>
      </c>
      <c r="AG42" s="518"/>
      <c r="AH42" s="518"/>
      <c r="AI42" s="520"/>
      <c r="AJ42" s="521"/>
      <c r="AK42" s="522"/>
      <c r="AL42" s="72" t="s">
        <v>1582</v>
      </c>
      <c r="AM42" s="72"/>
      <c r="AN42" s="72" t="s">
        <v>1583</v>
      </c>
      <c r="AO42" s="72"/>
      <c r="AP42" s="72"/>
      <c r="AQ42" s="72"/>
      <c r="AR42" s="72"/>
      <c r="AS42" s="72"/>
      <c r="AT42" s="142"/>
      <c r="AU42" s="607">
        <v>0.923</v>
      </c>
      <c r="AV42" s="510" t="s">
        <v>1587</v>
      </c>
      <c r="AW42" s="510" t="s">
        <v>1588</v>
      </c>
      <c r="AX42" s="510">
        <v>0.943</v>
      </c>
      <c r="AY42" s="510" t="s">
        <v>1589</v>
      </c>
      <c r="AZ42" s="510" t="s">
        <v>1590</v>
      </c>
      <c r="BA42" s="508">
        <v>0.998</v>
      </c>
      <c r="BB42" s="510" t="s">
        <v>1591</v>
      </c>
      <c r="BC42" s="510" t="s">
        <v>1592</v>
      </c>
      <c r="BD42" s="518"/>
      <c r="BE42" s="518"/>
      <c r="BF42" s="521"/>
      <c r="BG42" s="642"/>
      <c r="BH42" s="642"/>
      <c r="BI42" s="642"/>
      <c r="BJ42" s="642"/>
      <c r="BK42" s="642"/>
      <c r="BL42" s="642"/>
      <c r="BM42" s="522"/>
      <c r="BN42" s="72"/>
      <c r="BO42" s="72"/>
      <c r="BP42" s="72"/>
      <c r="BQ42" s="72"/>
      <c r="BR42" s="72"/>
      <c r="BS42" s="72"/>
      <c r="BT42" s="72"/>
      <c r="BU42" s="72"/>
      <c r="BV42" s="517"/>
      <c r="BW42" s="508" t="s">
        <v>1595</v>
      </c>
      <c r="BX42" s="508" t="s">
        <v>1596</v>
      </c>
      <c r="BY42" s="508" t="s">
        <v>1597</v>
      </c>
      <c r="BZ42" s="508"/>
      <c r="CA42" s="510" t="s">
        <v>1598</v>
      </c>
      <c r="CB42" s="510" t="s">
        <v>1599</v>
      </c>
      <c r="CC42" s="510" t="s">
        <v>1600</v>
      </c>
      <c r="CD42" s="508"/>
      <c r="CE42" s="510" t="s">
        <v>1601</v>
      </c>
      <c r="CF42" s="510" t="s">
        <v>1602</v>
      </c>
      <c r="CG42" s="510" t="s">
        <v>1603</v>
      </c>
      <c r="CH42" s="508">
        <v>0.98</v>
      </c>
      <c r="CI42" s="508" t="s">
        <v>1604</v>
      </c>
      <c r="CJ42" s="526" t="s">
        <v>1605</v>
      </c>
    </row>
    <row r="43">
      <c r="A43" s="624"/>
      <c r="B43" s="561" t="s">
        <v>728</v>
      </c>
      <c r="C43" s="562">
        <v>0.885</v>
      </c>
      <c r="D43" s="72"/>
      <c r="E43" s="72" t="s">
        <v>1876</v>
      </c>
      <c r="F43" s="563"/>
      <c r="G43" s="563">
        <v>0.755</v>
      </c>
      <c r="H43" s="563"/>
      <c r="I43" s="563" t="s">
        <v>1608</v>
      </c>
      <c r="J43" s="563"/>
      <c r="K43" s="326"/>
      <c r="L43" s="563"/>
      <c r="M43" s="563" t="s">
        <v>1877</v>
      </c>
      <c r="N43" s="563"/>
      <c r="O43" s="326"/>
      <c r="P43" s="563"/>
      <c r="Q43" s="563" t="s">
        <v>1878</v>
      </c>
      <c r="R43" s="563"/>
      <c r="S43" s="563"/>
      <c r="T43" s="563"/>
      <c r="U43" s="563"/>
      <c r="V43" s="563"/>
      <c r="W43" s="563">
        <v>0.823</v>
      </c>
      <c r="X43" s="563"/>
      <c r="Y43" s="563" t="s">
        <v>1879</v>
      </c>
      <c r="Z43" s="563"/>
      <c r="AA43" s="662">
        <v>0.528</v>
      </c>
      <c r="AB43" s="568" t="s">
        <v>1618</v>
      </c>
      <c r="AC43" s="568"/>
      <c r="AD43" s="568" t="s">
        <v>1619</v>
      </c>
      <c r="AE43" s="568">
        <v>0.536</v>
      </c>
      <c r="AF43" s="568" t="s">
        <v>1620</v>
      </c>
      <c r="AG43" s="568"/>
      <c r="AH43" s="568"/>
      <c r="AI43" s="571"/>
      <c r="AJ43" s="572" t="s">
        <v>1622</v>
      </c>
      <c r="AK43" s="562"/>
      <c r="AL43" s="563"/>
      <c r="AM43" s="563"/>
      <c r="AN43" s="563"/>
      <c r="AO43" s="563"/>
      <c r="AP43" s="563"/>
      <c r="AQ43" s="563"/>
      <c r="AR43" s="563"/>
      <c r="AS43" s="563"/>
      <c r="AT43" s="324"/>
      <c r="AU43" s="625">
        <v>0.883</v>
      </c>
      <c r="AV43" s="577" t="s">
        <v>1628</v>
      </c>
      <c r="AW43" s="577" t="s">
        <v>1629</v>
      </c>
      <c r="AX43" s="577">
        <v>0.879</v>
      </c>
      <c r="AY43" s="577" t="s">
        <v>1630</v>
      </c>
      <c r="AZ43" s="577" t="s">
        <v>1631</v>
      </c>
      <c r="BA43" s="576">
        <v>0.996</v>
      </c>
      <c r="BB43" s="577" t="s">
        <v>1632</v>
      </c>
      <c r="BC43" s="577" t="s">
        <v>1633</v>
      </c>
      <c r="BD43" s="568"/>
      <c r="BE43" s="568"/>
      <c r="BF43" s="572"/>
      <c r="BG43" s="653"/>
      <c r="BH43" s="653"/>
      <c r="BI43" s="653"/>
      <c r="BJ43" s="653"/>
      <c r="BK43" s="653"/>
      <c r="BL43" s="653"/>
      <c r="BM43" s="562"/>
      <c r="BN43" s="563"/>
      <c r="BO43" s="563"/>
      <c r="BP43" s="563"/>
      <c r="BQ43" s="563"/>
      <c r="BR43" s="563"/>
      <c r="BS43" s="563"/>
      <c r="BT43" s="563"/>
      <c r="BU43" s="563"/>
      <c r="BV43" s="517"/>
      <c r="BW43" s="576" t="s">
        <v>1636</v>
      </c>
      <c r="BX43" s="576" t="s">
        <v>1637</v>
      </c>
      <c r="BY43" s="576" t="s">
        <v>1638</v>
      </c>
      <c r="BZ43" s="576"/>
      <c r="CA43" s="577" t="s">
        <v>1639</v>
      </c>
      <c r="CB43" s="577" t="s">
        <v>1640</v>
      </c>
      <c r="CC43" s="577" t="s">
        <v>1641</v>
      </c>
      <c r="CD43" s="576"/>
      <c r="CE43" s="577" t="s">
        <v>1642</v>
      </c>
      <c r="CF43" s="577" t="s">
        <v>1643</v>
      </c>
      <c r="CG43" s="577" t="s">
        <v>1644</v>
      </c>
      <c r="CH43" s="576">
        <v>0.949</v>
      </c>
      <c r="CI43" s="576" t="s">
        <v>1645</v>
      </c>
      <c r="CJ43" s="579" t="s">
        <v>1646</v>
      </c>
    </row>
    <row r="44">
      <c r="A44" s="224"/>
      <c r="B44" s="224"/>
      <c r="C44" s="26"/>
      <c r="D44" s="224"/>
      <c r="E44" s="224"/>
      <c r="F44" s="224"/>
      <c r="G44" s="72"/>
      <c r="H44" s="224"/>
      <c r="I44" s="224"/>
      <c r="J44" s="224"/>
      <c r="K44" s="26"/>
      <c r="L44" s="224"/>
      <c r="M44" s="224"/>
      <c r="N44" s="224"/>
      <c r="O44" s="26"/>
      <c r="P44" s="224"/>
      <c r="Q44" s="224"/>
      <c r="R44" s="224"/>
      <c r="S44" s="72"/>
      <c r="T44" s="72"/>
      <c r="U44" s="72"/>
      <c r="V44" s="224"/>
      <c r="W44" s="224"/>
      <c r="X44" s="224"/>
      <c r="Y44" s="224"/>
      <c r="Z44" s="224"/>
      <c r="AA44" s="518"/>
      <c r="AB44" s="518"/>
      <c r="AC44" s="518"/>
      <c r="AD44" s="518"/>
      <c r="AE44" s="518"/>
      <c r="AF44" s="518"/>
      <c r="AG44" s="518"/>
      <c r="AH44" s="518"/>
      <c r="AI44" s="520"/>
      <c r="AJ44" s="518"/>
      <c r="AK44" s="72"/>
      <c r="AL44" s="72"/>
      <c r="AM44" s="72"/>
      <c r="AN44" s="72"/>
      <c r="AO44" s="72"/>
      <c r="AP44" s="72"/>
      <c r="AQ44" s="72"/>
      <c r="AR44" s="72"/>
      <c r="AS44" s="72"/>
      <c r="AT44" s="224"/>
      <c r="AU44" s="72"/>
      <c r="AV44" s="636"/>
      <c r="AW44" s="636"/>
      <c r="AX44" s="72"/>
      <c r="AY44" s="72"/>
      <c r="AZ44" s="72"/>
      <c r="BA44" s="518"/>
      <c r="BB44" s="72"/>
      <c r="BC44" s="72"/>
      <c r="BD44" s="518"/>
      <c r="BE44" s="518"/>
      <c r="BF44" s="518"/>
      <c r="BG44" s="642"/>
      <c r="BH44" s="642"/>
      <c r="BI44" s="642"/>
      <c r="BJ44" s="642"/>
      <c r="BK44" s="642"/>
      <c r="BL44" s="642"/>
      <c r="BM44" s="72"/>
      <c r="BN44" s="72"/>
      <c r="BO44" s="72"/>
      <c r="BP44" s="72"/>
      <c r="BQ44" s="72"/>
      <c r="BR44" s="72"/>
      <c r="BS44" s="72"/>
      <c r="BT44" s="72"/>
      <c r="BU44" s="72"/>
      <c r="BV44" s="518"/>
      <c r="BW44" s="518"/>
      <c r="BX44" s="518"/>
      <c r="BY44" s="518"/>
      <c r="BZ44" s="518"/>
      <c r="CA44" s="72"/>
      <c r="CB44" s="72"/>
      <c r="CC44" s="72"/>
      <c r="CD44" s="518"/>
      <c r="CE44" s="72"/>
      <c r="CF44" s="72"/>
      <c r="CG44" s="72"/>
      <c r="CH44" s="518"/>
      <c r="CI44" s="518"/>
      <c r="CJ44" s="518"/>
    </row>
    <row r="45">
      <c r="A45" s="224"/>
      <c r="B45" s="224"/>
      <c r="C45" s="26"/>
      <c r="D45" s="224"/>
      <c r="E45" s="224"/>
      <c r="F45" s="224"/>
      <c r="G45" s="72"/>
      <c r="H45" s="224"/>
      <c r="I45" s="224"/>
      <c r="J45" s="224"/>
      <c r="K45" s="26"/>
      <c r="L45" s="224"/>
      <c r="M45" s="224"/>
      <c r="N45" s="224"/>
      <c r="O45" s="26"/>
      <c r="P45" s="224"/>
      <c r="Q45" s="224"/>
      <c r="R45" s="224"/>
      <c r="S45" s="72"/>
      <c r="T45" s="72"/>
      <c r="U45" s="72"/>
      <c r="V45" s="224"/>
      <c r="W45" s="224"/>
      <c r="X45" s="224"/>
      <c r="Y45" s="224"/>
      <c r="Z45" s="224"/>
      <c r="AA45" s="518"/>
      <c r="AB45" s="518"/>
      <c r="AC45" s="518"/>
      <c r="AD45" s="518"/>
      <c r="AE45" s="518"/>
      <c r="AF45" s="518"/>
      <c r="AG45" s="518"/>
      <c r="AH45" s="518"/>
      <c r="AI45" s="520"/>
      <c r="AJ45" s="518"/>
      <c r="AK45" s="72"/>
      <c r="AL45" s="72"/>
      <c r="AM45" s="72"/>
      <c r="AN45" s="72"/>
      <c r="AO45" s="72"/>
      <c r="AP45" s="72"/>
      <c r="AQ45" s="72"/>
      <c r="AR45" s="72"/>
      <c r="AS45" s="72"/>
      <c r="AT45" s="224"/>
      <c r="AU45" s="72"/>
      <c r="AV45" s="636"/>
      <c r="AW45" s="636"/>
      <c r="AX45" s="72"/>
      <c r="AY45" s="72"/>
      <c r="AZ45" s="72"/>
      <c r="BA45" s="518"/>
      <c r="BB45" s="72"/>
      <c r="BC45" s="72"/>
      <c r="BD45" s="518"/>
      <c r="BE45" s="518"/>
      <c r="BF45" s="518"/>
      <c r="BG45" s="642"/>
      <c r="BH45" s="642"/>
      <c r="BI45" s="642"/>
      <c r="BJ45" s="642"/>
      <c r="BK45" s="642"/>
      <c r="BL45" s="642"/>
      <c r="BM45" s="72"/>
      <c r="BN45" s="72"/>
      <c r="BO45" s="72"/>
      <c r="BP45" s="72"/>
      <c r="BQ45" s="72"/>
      <c r="BR45" s="72"/>
      <c r="BS45" s="72"/>
      <c r="BT45" s="72"/>
      <c r="BU45" s="72"/>
      <c r="BV45" s="518"/>
      <c r="BW45" s="518"/>
      <c r="BX45" s="518"/>
      <c r="BY45" s="518"/>
      <c r="BZ45" s="518"/>
      <c r="CA45" s="72"/>
      <c r="CB45" s="72"/>
      <c r="CC45" s="72"/>
      <c r="CD45" s="518"/>
      <c r="CE45" s="72"/>
      <c r="CF45" s="72"/>
      <c r="CG45" s="72"/>
      <c r="CH45" s="518"/>
      <c r="CI45" s="518"/>
      <c r="CJ45" s="518"/>
    </row>
    <row r="46">
      <c r="A46" s="224"/>
      <c r="B46" s="224"/>
      <c r="C46" s="26"/>
      <c r="D46" s="224"/>
      <c r="E46" s="224"/>
      <c r="F46" s="224"/>
      <c r="G46" s="72"/>
      <c r="H46" s="224"/>
      <c r="I46" s="224"/>
      <c r="J46" s="224"/>
      <c r="K46" s="26"/>
      <c r="L46" s="224"/>
      <c r="M46" s="224"/>
      <c r="N46" s="224"/>
      <c r="O46" s="26"/>
      <c r="P46" s="224"/>
      <c r="Q46" s="224"/>
      <c r="R46" s="224"/>
      <c r="S46" s="72"/>
      <c r="T46" s="72"/>
      <c r="U46" s="72"/>
      <c r="V46" s="224"/>
      <c r="W46" s="224"/>
      <c r="X46" s="224"/>
      <c r="Y46" s="224"/>
      <c r="Z46" s="224"/>
      <c r="AA46" s="518"/>
      <c r="AB46" s="518"/>
      <c r="AC46" s="518"/>
      <c r="AD46" s="518"/>
      <c r="AE46" s="518"/>
      <c r="AF46" s="518"/>
      <c r="AG46" s="518"/>
      <c r="AH46" s="518"/>
      <c r="AI46" s="520"/>
      <c r="AJ46" s="518"/>
      <c r="AK46" s="72"/>
      <c r="AL46" s="72"/>
      <c r="AM46" s="72"/>
      <c r="AN46" s="72"/>
      <c r="AO46" s="72"/>
      <c r="AP46" s="72"/>
      <c r="AQ46" s="72"/>
      <c r="AR46" s="72"/>
      <c r="AS46" s="72"/>
      <c r="AT46" s="224"/>
      <c r="AU46" s="72"/>
      <c r="AV46" s="636"/>
      <c r="AW46" s="636"/>
      <c r="AX46" s="72"/>
      <c r="AY46" s="72"/>
      <c r="AZ46" s="72"/>
      <c r="BA46" s="518"/>
      <c r="BB46" s="72"/>
      <c r="BC46" s="72"/>
      <c r="BD46" s="518"/>
      <c r="BE46" s="518"/>
      <c r="BF46" s="518"/>
      <c r="BG46" s="642"/>
      <c r="BH46" s="642"/>
      <c r="BI46" s="642"/>
      <c r="BJ46" s="642"/>
      <c r="BK46" s="642"/>
      <c r="BL46" s="642"/>
      <c r="BM46" s="72"/>
      <c r="BN46" s="72"/>
      <c r="BO46" s="72"/>
      <c r="BP46" s="72"/>
      <c r="BQ46" s="72"/>
      <c r="BR46" s="72"/>
      <c r="BS46" s="72"/>
      <c r="BT46" s="72"/>
      <c r="BU46" s="72"/>
      <c r="BV46" s="518"/>
      <c r="BW46" s="518"/>
      <c r="BX46" s="518"/>
      <c r="BY46" s="518"/>
      <c r="BZ46" s="518"/>
      <c r="CA46" s="72"/>
      <c r="CB46" s="72"/>
      <c r="CC46" s="72"/>
      <c r="CD46" s="518"/>
      <c r="CE46" s="72"/>
      <c r="CF46" s="72"/>
      <c r="CG46" s="72"/>
      <c r="CH46" s="518"/>
      <c r="CI46" s="518"/>
      <c r="CJ46" s="518"/>
    </row>
    <row r="47">
      <c r="A47" s="224"/>
      <c r="B47" s="224"/>
      <c r="C47" s="26"/>
      <c r="D47" s="224"/>
      <c r="E47" s="224"/>
      <c r="F47" s="224"/>
      <c r="G47" s="72"/>
      <c r="H47" s="224"/>
      <c r="I47" s="224"/>
      <c r="J47" s="224"/>
      <c r="K47" s="26"/>
      <c r="L47" s="224"/>
      <c r="M47" s="224"/>
      <c r="N47" s="224"/>
      <c r="O47" s="26"/>
      <c r="P47" s="224"/>
      <c r="Q47" s="224"/>
      <c r="R47" s="224"/>
      <c r="S47" s="72"/>
      <c r="T47" s="72"/>
      <c r="U47" s="72"/>
      <c r="V47" s="224"/>
      <c r="W47" s="224"/>
      <c r="X47" s="224"/>
      <c r="Y47" s="224"/>
      <c r="Z47" s="224"/>
      <c r="AA47" s="518"/>
      <c r="AB47" s="518"/>
      <c r="AC47" s="518"/>
      <c r="AD47" s="518"/>
      <c r="AE47" s="518"/>
      <c r="AF47" s="518"/>
      <c r="AG47" s="518"/>
      <c r="AH47" s="518"/>
      <c r="AI47" s="518"/>
      <c r="AJ47" s="518"/>
      <c r="AK47" s="72"/>
      <c r="AL47" s="72"/>
      <c r="AM47" s="72"/>
      <c r="AN47" s="72"/>
      <c r="AO47" s="72"/>
      <c r="AP47" s="72"/>
      <c r="AQ47" s="72"/>
      <c r="AR47" s="72"/>
      <c r="AS47" s="72"/>
      <c r="AT47" s="224"/>
      <c r="AU47" s="72"/>
      <c r="AV47" s="72"/>
      <c r="AW47" s="72"/>
      <c r="AX47" s="72"/>
      <c r="AY47" s="72"/>
      <c r="AZ47" s="72"/>
      <c r="BA47" s="518"/>
      <c r="BB47" s="72"/>
      <c r="BC47" s="72"/>
      <c r="BD47" s="518"/>
      <c r="BE47" s="518"/>
      <c r="BF47" s="518"/>
      <c r="BG47" s="518"/>
      <c r="BH47" s="518"/>
      <c r="BI47" s="518"/>
      <c r="BJ47" s="518"/>
      <c r="BK47" s="518"/>
      <c r="BL47" s="518"/>
      <c r="BM47" s="518"/>
      <c r="BN47" s="518"/>
      <c r="BO47" s="518"/>
      <c r="BP47" s="518"/>
      <c r="BQ47" s="518"/>
      <c r="BR47" s="518"/>
      <c r="BS47" s="518"/>
      <c r="BT47" s="518"/>
      <c r="BU47" s="518"/>
      <c r="BV47" s="518"/>
      <c r="BW47" s="518"/>
      <c r="BX47" s="518"/>
      <c r="BY47" s="518"/>
      <c r="BZ47" s="518"/>
      <c r="CA47" s="72"/>
      <c r="CB47" s="72"/>
      <c r="CC47" s="72"/>
      <c r="CD47" s="72"/>
      <c r="CE47" s="72"/>
      <c r="CF47" s="72"/>
      <c r="CG47" s="72"/>
      <c r="CH47" s="518"/>
      <c r="CI47" s="518"/>
      <c r="CJ47" s="518"/>
    </row>
    <row r="48">
      <c r="A48" s="224"/>
      <c r="B48" s="224"/>
      <c r="C48" s="26"/>
      <c r="D48" s="224"/>
      <c r="E48" s="224"/>
      <c r="F48" s="224"/>
      <c r="G48" s="72"/>
      <c r="H48" s="224"/>
      <c r="I48" s="224"/>
      <c r="J48" s="224"/>
      <c r="K48" s="26"/>
      <c r="L48" s="224"/>
      <c r="M48" s="224"/>
      <c r="N48" s="224"/>
      <c r="O48" s="26"/>
      <c r="P48" s="224"/>
      <c r="Q48" s="224"/>
      <c r="R48" s="224"/>
      <c r="S48" s="72"/>
      <c r="T48" s="72"/>
      <c r="U48" s="72"/>
      <c r="V48" s="224"/>
      <c r="W48" s="224"/>
      <c r="X48" s="224"/>
      <c r="Y48" s="224"/>
      <c r="Z48" s="224"/>
      <c r="AA48" s="518"/>
      <c r="AB48" s="518"/>
      <c r="AC48" s="518"/>
      <c r="AD48" s="518"/>
      <c r="AE48" s="518"/>
      <c r="AF48" s="518"/>
      <c r="AG48" s="518"/>
      <c r="AH48" s="518"/>
      <c r="AI48" s="518"/>
      <c r="AJ48" s="518"/>
      <c r="AK48" s="72"/>
      <c r="AL48" s="72"/>
      <c r="AM48" s="72"/>
      <c r="AN48" s="72"/>
      <c r="AO48" s="72"/>
      <c r="AP48" s="72"/>
      <c r="AQ48" s="72"/>
      <c r="AR48" s="72"/>
      <c r="AS48" s="72"/>
      <c r="AT48" s="224"/>
      <c r="AU48" s="72"/>
      <c r="AV48" s="72"/>
      <c r="AW48" s="72"/>
      <c r="AX48" s="72"/>
      <c r="AY48" s="72"/>
      <c r="AZ48" s="72"/>
      <c r="BA48" s="518"/>
      <c r="BB48" s="72"/>
      <c r="BC48" s="72"/>
      <c r="BD48" s="518"/>
      <c r="BE48" s="518"/>
      <c r="BF48" s="518"/>
      <c r="BG48" s="518"/>
      <c r="BH48" s="518"/>
      <c r="BI48" s="518"/>
      <c r="BJ48" s="518"/>
      <c r="BK48" s="518"/>
      <c r="BL48" s="518"/>
      <c r="BM48" s="518"/>
      <c r="BN48" s="518"/>
      <c r="BO48" s="518"/>
      <c r="BP48" s="518"/>
      <c r="BQ48" s="518"/>
      <c r="BR48" s="518"/>
      <c r="BS48" s="518"/>
      <c r="BT48" s="518"/>
      <c r="BU48" s="518"/>
      <c r="BV48" s="518"/>
      <c r="BW48" s="518"/>
      <c r="BX48" s="518"/>
      <c r="BY48" s="518"/>
      <c r="BZ48" s="518"/>
      <c r="CA48" s="72"/>
      <c r="CB48" s="72"/>
      <c r="CC48" s="72"/>
      <c r="CD48" s="72"/>
      <c r="CE48" s="72"/>
      <c r="CF48" s="72"/>
      <c r="CG48" s="72"/>
      <c r="CH48" s="518"/>
      <c r="CI48" s="518"/>
      <c r="CJ48" s="518"/>
    </row>
    <row r="49">
      <c r="A49" s="224"/>
      <c r="B49" s="224"/>
      <c r="C49" s="26"/>
      <c r="D49" s="224"/>
      <c r="E49" s="224"/>
      <c r="F49" s="224"/>
      <c r="G49" s="72"/>
      <c r="H49" s="224"/>
      <c r="I49" s="224"/>
      <c r="J49" s="224"/>
      <c r="K49" s="26"/>
      <c r="L49" s="224"/>
      <c r="M49" s="224"/>
      <c r="N49" s="224"/>
      <c r="O49" s="26"/>
      <c r="P49" s="224"/>
      <c r="Q49" s="224"/>
      <c r="R49" s="224"/>
      <c r="S49" s="72"/>
      <c r="T49" s="72"/>
      <c r="U49" s="72"/>
      <c r="V49" s="224"/>
      <c r="W49" s="224"/>
      <c r="X49" s="224"/>
      <c r="Y49" s="224"/>
      <c r="Z49" s="224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224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</row>
    <row r="51">
      <c r="A51" s="224"/>
    </row>
    <row r="52">
      <c r="A52" s="224"/>
      <c r="O52" s="224" t="s">
        <v>692</v>
      </c>
    </row>
    <row r="53">
      <c r="A53" s="224" t="s">
        <v>693</v>
      </c>
    </row>
    <row r="58">
      <c r="AX58" s="224"/>
      <c r="AY58" s="224"/>
      <c r="AZ58" s="224"/>
      <c r="BA58" s="224" t="s">
        <v>1647</v>
      </c>
    </row>
    <row r="59">
      <c r="BA59" s="1" t="s">
        <v>12</v>
      </c>
      <c r="BB59" s="1" t="s">
        <v>13</v>
      </c>
      <c r="BD59" s="1" t="s">
        <v>14</v>
      </c>
      <c r="BE59" s="1" t="s">
        <v>15</v>
      </c>
      <c r="BH59" s="1" t="s">
        <v>1880</v>
      </c>
    </row>
    <row r="60">
      <c r="AV60" s="224" t="s">
        <v>694</v>
      </c>
      <c r="AW60" s="224"/>
      <c r="AX60" s="531"/>
      <c r="AY60" s="531"/>
      <c r="AZ60" s="531"/>
      <c r="BA60" s="531">
        <v>0.708</v>
      </c>
      <c r="BB60" s="531">
        <v>0.714</v>
      </c>
      <c r="BC60" s="531"/>
      <c r="BD60" s="72">
        <v>0.621</v>
      </c>
      <c r="BE60" s="72">
        <v>0.387</v>
      </c>
      <c r="BF60" s="72"/>
      <c r="BG60" s="531"/>
      <c r="BH60" s="531">
        <v>0.834</v>
      </c>
    </row>
    <row r="61">
      <c r="AV61" s="224" t="s">
        <v>695</v>
      </c>
      <c r="AW61" s="224"/>
      <c r="AX61" s="72"/>
      <c r="AY61" s="72"/>
      <c r="AZ61" s="72"/>
      <c r="BA61" s="72">
        <v>0.684</v>
      </c>
      <c r="BB61" s="72">
        <v>0.282</v>
      </c>
      <c r="BC61" s="72"/>
      <c r="BD61" s="531">
        <v>0.755</v>
      </c>
      <c r="BE61" s="531">
        <v>0.491</v>
      </c>
      <c r="BF61" s="531"/>
      <c r="BG61" s="72"/>
      <c r="BH61" s="72">
        <v>0.683</v>
      </c>
    </row>
  </sheetData>
  <mergeCells count="19">
    <mergeCell ref="BV3:BW3"/>
    <mergeCell ref="BX3:BY3"/>
    <mergeCell ref="CH3:CJ3"/>
    <mergeCell ref="AI3:AJ3"/>
    <mergeCell ref="AO3:AP3"/>
    <mergeCell ref="AU3:AV3"/>
    <mergeCell ref="AX3:AY3"/>
    <mergeCell ref="BG3:BI3"/>
    <mergeCell ref="BJ3:BL3"/>
    <mergeCell ref="BM3:BN3"/>
    <mergeCell ref="A5:A16"/>
    <mergeCell ref="A17:A43"/>
    <mergeCell ref="A1:B1"/>
    <mergeCell ref="C3:E3"/>
    <mergeCell ref="G3:I3"/>
    <mergeCell ref="K3:M3"/>
    <mergeCell ref="O3:Q3"/>
    <mergeCell ref="S3:V3"/>
    <mergeCell ref="AA3:AB3"/>
  </mergeCells>
  <conditionalFormatting sqref="C5:C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5:G40 G42:G4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5:K4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5:O43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S5:S4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5:E43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A5:AA43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E5:AE43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C5:AC4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I5:AI4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5:V40 W5:W39 X5:X40 Y5:Z3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0.0"/>
    <col customWidth="1" min="2" max="2" width="26.71"/>
    <col customWidth="1" min="3" max="3" width="9.57"/>
    <col customWidth="1" min="4" max="5" width="11.86"/>
    <col customWidth="1" min="6" max="6" width="9.43"/>
    <col customWidth="1" min="9" max="9" width="8.0"/>
    <col customWidth="1" min="12" max="12" width="11.29"/>
    <col customWidth="1" min="15" max="15" width="9.71"/>
    <col customWidth="1" min="16" max="16" width="14.57"/>
    <col customWidth="1" min="17" max="19" width="11.57"/>
    <col customWidth="1" min="20" max="20" width="9.71"/>
    <col customWidth="1" min="21" max="21" width="11.14"/>
    <col customWidth="1" min="22" max="22" width="9.71"/>
    <col customWidth="1" min="23" max="23" width="12.71"/>
    <col customWidth="1" min="24" max="24" width="9.71"/>
    <col customWidth="1" min="25" max="25" width="12.0"/>
    <col customWidth="1" min="26" max="28" width="9.71"/>
    <col customWidth="1" min="29" max="30" width="11.86"/>
    <col customWidth="1" min="31" max="39" width="9.71"/>
    <col customWidth="1" min="40" max="40" width="11.71"/>
    <col customWidth="1" min="41" max="41" width="10.71"/>
    <col customWidth="1" min="42" max="42" width="12.14"/>
    <col customWidth="1" min="43" max="43" width="12.43"/>
    <col customWidth="1" min="44" max="44" width="11.0"/>
    <col customWidth="1" min="45" max="45" width="12.57"/>
    <col customWidth="1" min="46" max="46" width="15.57"/>
    <col customWidth="1" min="47" max="47" width="8.0"/>
    <col customWidth="1" min="48" max="48" width="12.57"/>
    <col customWidth="1" min="49" max="49" width="13.57"/>
    <col customWidth="1" min="50" max="50" width="6.57"/>
    <col customWidth="1" min="51" max="51" width="13.43"/>
    <col customWidth="1" min="52" max="52" width="12.14"/>
    <col hidden="1" min="59" max="62" width="14.43"/>
    <col customWidth="1" hidden="1" min="63" max="63" width="11.57"/>
    <col hidden="1" min="64" max="67" width="14.43"/>
  </cols>
  <sheetData>
    <row r="1">
      <c r="A1" s="483" t="s">
        <v>1881</v>
      </c>
      <c r="C1" s="224"/>
    </row>
    <row r="2">
      <c r="A2" s="483" t="s">
        <v>1882</v>
      </c>
      <c r="C2" s="484" t="s">
        <v>2</v>
      </c>
      <c r="T2" s="484" t="s">
        <v>3</v>
      </c>
      <c r="Y2" s="224" t="s">
        <v>692</v>
      </c>
      <c r="AE2" s="484" t="s">
        <v>4</v>
      </c>
      <c r="AO2" s="484" t="s">
        <v>5</v>
      </c>
      <c r="BG2" s="484" t="s">
        <v>1650</v>
      </c>
      <c r="BP2" s="484" t="s">
        <v>6</v>
      </c>
      <c r="CE2" s="484" t="s">
        <v>1651</v>
      </c>
      <c r="CF2" s="484" t="s">
        <v>1652</v>
      </c>
    </row>
    <row r="3">
      <c r="A3" s="224"/>
      <c r="B3" s="224"/>
      <c r="C3" s="180" t="s">
        <v>12</v>
      </c>
      <c r="D3" s="485"/>
      <c r="E3" s="486"/>
      <c r="F3" s="486" t="s">
        <v>13</v>
      </c>
      <c r="G3" s="485"/>
      <c r="H3" s="486"/>
      <c r="I3" s="486" t="s">
        <v>14</v>
      </c>
      <c r="J3" s="485"/>
      <c r="K3" s="486"/>
      <c r="L3" s="486" t="s">
        <v>15</v>
      </c>
      <c r="M3" s="485"/>
      <c r="N3" s="486"/>
      <c r="O3" s="486" t="s">
        <v>16</v>
      </c>
      <c r="P3" s="485"/>
      <c r="Q3" s="487"/>
      <c r="R3" s="486"/>
      <c r="S3" s="486"/>
      <c r="T3" s="488" t="s">
        <v>18</v>
      </c>
      <c r="U3" s="485"/>
      <c r="V3" s="489" t="s">
        <v>19</v>
      </c>
      <c r="W3" s="489"/>
      <c r="X3" s="489" t="s">
        <v>20</v>
      </c>
      <c r="Y3" s="489"/>
      <c r="Z3" s="663" t="s">
        <v>21</v>
      </c>
      <c r="AA3" s="663"/>
      <c r="AB3" s="489" t="s">
        <v>22</v>
      </c>
      <c r="AC3" s="487"/>
      <c r="AD3" s="489"/>
      <c r="AE3" s="180" t="s">
        <v>23</v>
      </c>
      <c r="AF3" s="486"/>
      <c r="AG3" s="486" t="s">
        <v>24</v>
      </c>
      <c r="AH3" s="486"/>
      <c r="AI3" s="486" t="s">
        <v>25</v>
      </c>
      <c r="AJ3" s="485"/>
      <c r="AK3" s="486" t="s">
        <v>26</v>
      </c>
      <c r="AL3" s="486"/>
      <c r="AM3" s="486" t="s">
        <v>27</v>
      </c>
      <c r="AN3" s="24"/>
      <c r="AO3" s="180" t="s">
        <v>31</v>
      </c>
      <c r="AP3" s="485"/>
      <c r="AQ3" s="486"/>
      <c r="AR3" s="486" t="s">
        <v>32</v>
      </c>
      <c r="AS3" s="485"/>
      <c r="AT3" s="486"/>
      <c r="AU3" s="486" t="s">
        <v>808</v>
      </c>
      <c r="AV3" s="486"/>
      <c r="AW3" s="486"/>
      <c r="AX3" s="489" t="s">
        <v>1883</v>
      </c>
      <c r="AY3" s="489"/>
      <c r="AZ3" s="489"/>
      <c r="BA3" s="637" t="s">
        <v>1653</v>
      </c>
      <c r="BB3" s="485"/>
      <c r="BC3" s="485"/>
      <c r="BD3" s="637" t="s">
        <v>1654</v>
      </c>
      <c r="BE3" s="485"/>
      <c r="BF3" s="487"/>
      <c r="BG3" s="486" t="s">
        <v>1655</v>
      </c>
      <c r="BH3" s="485"/>
      <c r="BI3" s="486"/>
      <c r="BJ3" s="486" t="s">
        <v>1656</v>
      </c>
      <c r="BK3" s="486"/>
      <c r="BL3" s="486"/>
      <c r="BM3" s="486" t="s">
        <v>1657</v>
      </c>
      <c r="BN3" s="486"/>
      <c r="BO3" s="486"/>
      <c r="BP3" s="489" t="s">
        <v>36</v>
      </c>
      <c r="BQ3" s="485"/>
      <c r="BR3" s="489"/>
      <c r="BS3" s="489"/>
      <c r="BT3" s="486" t="s">
        <v>37</v>
      </c>
      <c r="BU3" s="486"/>
      <c r="BV3" s="486"/>
      <c r="BW3" s="486"/>
      <c r="BX3" s="486" t="s">
        <v>38</v>
      </c>
      <c r="BY3" s="486"/>
      <c r="BZ3" s="486"/>
      <c r="CA3" s="486"/>
      <c r="CB3" s="489" t="s">
        <v>39</v>
      </c>
      <c r="CC3" s="485"/>
      <c r="CD3" s="487"/>
      <c r="CE3" s="638"/>
      <c r="CF3" s="638"/>
    </row>
    <row r="4">
      <c r="C4" s="491" t="s">
        <v>44</v>
      </c>
      <c r="D4" s="492" t="s">
        <v>809</v>
      </c>
      <c r="E4" s="492" t="s">
        <v>810</v>
      </c>
      <c r="F4" s="492" t="s">
        <v>44</v>
      </c>
      <c r="G4" s="492" t="s">
        <v>809</v>
      </c>
      <c r="H4" s="492" t="s">
        <v>810</v>
      </c>
      <c r="I4" s="492" t="s">
        <v>44</v>
      </c>
      <c r="J4" s="492" t="s">
        <v>809</v>
      </c>
      <c r="K4" s="492" t="s">
        <v>810</v>
      </c>
      <c r="L4" s="492" t="s">
        <v>44</v>
      </c>
      <c r="M4" s="492" t="s">
        <v>809</v>
      </c>
      <c r="N4" s="492" t="s">
        <v>810</v>
      </c>
      <c r="O4" s="224" t="s">
        <v>44</v>
      </c>
      <c r="P4" s="492" t="s">
        <v>809</v>
      </c>
      <c r="Q4" s="324" t="s">
        <v>810</v>
      </c>
      <c r="R4" s="492" t="s">
        <v>1884</v>
      </c>
      <c r="S4" s="492"/>
      <c r="T4" s="493" t="s">
        <v>44</v>
      </c>
      <c r="U4" s="494" t="s">
        <v>809</v>
      </c>
      <c r="V4" s="494" t="s">
        <v>44</v>
      </c>
      <c r="W4" s="494" t="s">
        <v>809</v>
      </c>
      <c r="X4" s="494" t="s">
        <v>44</v>
      </c>
      <c r="Y4" s="494" t="s">
        <v>809</v>
      </c>
      <c r="Z4" s="664" t="s">
        <v>44</v>
      </c>
      <c r="AA4" s="664" t="s">
        <v>809</v>
      </c>
      <c r="AB4" s="494" t="s">
        <v>44</v>
      </c>
      <c r="AC4" s="495" t="s">
        <v>809</v>
      </c>
      <c r="AD4" s="507" t="s">
        <v>1885</v>
      </c>
      <c r="AE4" s="491" t="s">
        <v>44</v>
      </c>
      <c r="AF4" s="492" t="s">
        <v>809</v>
      </c>
      <c r="AG4" s="492" t="s">
        <v>44</v>
      </c>
      <c r="AH4" s="492" t="s">
        <v>809</v>
      </c>
      <c r="AI4" s="492" t="s">
        <v>44</v>
      </c>
      <c r="AJ4" s="492" t="s">
        <v>809</v>
      </c>
      <c r="AK4" s="492" t="s">
        <v>44</v>
      </c>
      <c r="AL4" s="492" t="s">
        <v>809</v>
      </c>
      <c r="AM4" s="492" t="s">
        <v>44</v>
      </c>
      <c r="AN4" s="324" t="s">
        <v>809</v>
      </c>
      <c r="AO4" s="491" t="s">
        <v>44</v>
      </c>
      <c r="AP4" s="492" t="s">
        <v>809</v>
      </c>
      <c r="AQ4" s="492" t="s">
        <v>810</v>
      </c>
      <c r="AR4" s="492" t="s">
        <v>44</v>
      </c>
      <c r="AS4" s="492" t="s">
        <v>809</v>
      </c>
      <c r="AT4" s="492" t="s">
        <v>810</v>
      </c>
      <c r="AU4" s="494" t="s">
        <v>44</v>
      </c>
      <c r="AV4" s="492" t="s">
        <v>809</v>
      </c>
      <c r="AW4" s="492" t="s">
        <v>810</v>
      </c>
      <c r="AX4" s="494" t="s">
        <v>44</v>
      </c>
      <c r="AY4" s="494" t="s">
        <v>809</v>
      </c>
      <c r="AZ4" s="494" t="s">
        <v>810</v>
      </c>
      <c r="BA4" s="639" t="s">
        <v>1659</v>
      </c>
      <c r="BB4" s="639" t="s">
        <v>809</v>
      </c>
      <c r="BC4" s="639" t="s">
        <v>810</v>
      </c>
      <c r="BD4" s="639" t="s">
        <v>1659</v>
      </c>
      <c r="BE4" s="639" t="s">
        <v>809</v>
      </c>
      <c r="BF4" s="639" t="s">
        <v>810</v>
      </c>
      <c r="BG4" s="491" t="s">
        <v>44</v>
      </c>
      <c r="BH4" s="492" t="s">
        <v>809</v>
      </c>
      <c r="BI4" s="492" t="s">
        <v>810</v>
      </c>
      <c r="BJ4" s="492" t="s">
        <v>44</v>
      </c>
      <c r="BK4" s="492" t="s">
        <v>809</v>
      </c>
      <c r="BL4" s="492" t="s">
        <v>810</v>
      </c>
      <c r="BM4" s="492" t="s">
        <v>44</v>
      </c>
      <c r="BN4" s="492" t="s">
        <v>809</v>
      </c>
      <c r="BO4" s="492" t="s">
        <v>810</v>
      </c>
      <c r="BP4" s="493" t="s">
        <v>44</v>
      </c>
      <c r="BQ4" s="494" t="s">
        <v>809</v>
      </c>
      <c r="BR4" s="494" t="s">
        <v>811</v>
      </c>
      <c r="BS4" s="494" t="s">
        <v>810</v>
      </c>
      <c r="BT4" s="494" t="s">
        <v>44</v>
      </c>
      <c r="BU4" s="492" t="s">
        <v>809</v>
      </c>
      <c r="BV4" s="492" t="s">
        <v>811</v>
      </c>
      <c r="BW4" s="492" t="s">
        <v>810</v>
      </c>
      <c r="BX4" s="492" t="s">
        <v>44</v>
      </c>
      <c r="BY4" s="492" t="s">
        <v>809</v>
      </c>
      <c r="BZ4" s="492" t="s">
        <v>811</v>
      </c>
      <c r="CA4" s="492" t="s">
        <v>810</v>
      </c>
      <c r="CB4" s="494" t="s">
        <v>44</v>
      </c>
      <c r="CC4" s="495" t="s">
        <v>809</v>
      </c>
      <c r="CD4" s="495" t="s">
        <v>810</v>
      </c>
    </row>
    <row r="5">
      <c r="A5" s="180" t="s">
        <v>1886</v>
      </c>
      <c r="B5" s="496" t="s">
        <v>53</v>
      </c>
      <c r="C5" s="457">
        <v>0.832</v>
      </c>
      <c r="D5" s="486" t="s">
        <v>1660</v>
      </c>
      <c r="E5" s="486" t="s">
        <v>1661</v>
      </c>
      <c r="F5" s="457">
        <v>0.341</v>
      </c>
      <c r="G5" s="486" t="s">
        <v>1662</v>
      </c>
      <c r="H5" s="486" t="s">
        <v>815</v>
      </c>
      <c r="I5" s="457">
        <v>0.793</v>
      </c>
      <c r="J5" s="486" t="s">
        <v>1663</v>
      </c>
      <c r="K5" s="486" t="s">
        <v>817</v>
      </c>
      <c r="L5" s="457">
        <v>0.632</v>
      </c>
      <c r="M5" s="486" t="s">
        <v>1664</v>
      </c>
      <c r="N5" s="224" t="s">
        <v>1665</v>
      </c>
      <c r="O5" s="457">
        <v>0.835</v>
      </c>
      <c r="P5" s="457" t="s">
        <v>820</v>
      </c>
      <c r="Q5" s="506" t="s">
        <v>821</v>
      </c>
      <c r="R5" s="486">
        <f t="shared" ref="R5:R38" si="1">(O5+L5+I5+F5+C5) /5</f>
        <v>0.6866</v>
      </c>
      <c r="S5" s="486"/>
      <c r="T5" s="581"/>
      <c r="U5" s="507" t="s">
        <v>1666</v>
      </c>
      <c r="V5" s="507"/>
      <c r="W5" s="507" t="s">
        <v>825</v>
      </c>
      <c r="X5" s="507"/>
      <c r="Y5" s="507" t="s">
        <v>826</v>
      </c>
      <c r="Z5" s="665"/>
      <c r="AA5" s="665"/>
      <c r="AB5" s="641"/>
      <c r="AC5" s="585" t="s">
        <v>1667</v>
      </c>
      <c r="AE5" s="505"/>
      <c r="AF5" s="457" t="s">
        <v>829</v>
      </c>
      <c r="AG5" s="457"/>
      <c r="AH5" s="457" t="s">
        <v>830</v>
      </c>
      <c r="AI5" s="457"/>
      <c r="AJ5" s="457" t="s">
        <v>831</v>
      </c>
      <c r="AK5" s="457"/>
      <c r="AL5" s="457" t="s">
        <v>832</v>
      </c>
      <c r="AM5" s="457"/>
      <c r="AN5" s="506" t="s">
        <v>833</v>
      </c>
      <c r="AO5" s="505" t="s">
        <v>98</v>
      </c>
      <c r="AP5" s="457" t="s">
        <v>834</v>
      </c>
      <c r="AQ5" s="457" t="s">
        <v>835</v>
      </c>
      <c r="AR5" s="72" t="s">
        <v>102</v>
      </c>
      <c r="AS5" s="72" t="s">
        <v>836</v>
      </c>
      <c r="AT5" s="457" t="s">
        <v>837</v>
      </c>
      <c r="AU5" s="507">
        <v>0.993</v>
      </c>
      <c r="AV5" s="457" t="s">
        <v>838</v>
      </c>
      <c r="AW5" s="457" t="s">
        <v>839</v>
      </c>
      <c r="AX5" s="507"/>
      <c r="AY5" s="507"/>
      <c r="AZ5" s="507"/>
      <c r="BA5" s="642"/>
      <c r="BB5" s="642"/>
      <c r="BC5" s="643"/>
      <c r="BD5" s="643"/>
      <c r="BE5" s="643"/>
      <c r="BF5" s="643"/>
      <c r="BG5" s="505"/>
      <c r="BH5" s="457"/>
      <c r="BI5" s="457"/>
      <c r="BJ5" s="457"/>
      <c r="BK5" s="457"/>
      <c r="BL5" s="457"/>
      <c r="BM5" s="457"/>
      <c r="BN5" s="457"/>
      <c r="BO5" s="457"/>
      <c r="BP5" s="507"/>
      <c r="BQ5" s="507"/>
      <c r="BR5" s="507"/>
      <c r="BS5" s="507"/>
      <c r="BT5" s="507"/>
      <c r="BU5" s="72" t="s">
        <v>845</v>
      </c>
      <c r="BV5" s="72"/>
      <c r="BW5" s="457" t="s">
        <v>847</v>
      </c>
      <c r="BX5" s="507"/>
      <c r="BY5" s="457" t="s">
        <v>848</v>
      </c>
      <c r="BZ5" s="457"/>
      <c r="CA5" s="457" t="s">
        <v>850</v>
      </c>
      <c r="CB5" s="507"/>
      <c r="CC5" s="507"/>
      <c r="CD5" s="585"/>
    </row>
    <row r="6">
      <c r="A6" s="513"/>
      <c r="B6" s="514" t="s">
        <v>114</v>
      </c>
      <c r="C6" s="72">
        <v>0.903</v>
      </c>
      <c r="D6" s="224" t="s">
        <v>853</v>
      </c>
      <c r="E6" s="224" t="s">
        <v>854</v>
      </c>
      <c r="F6" s="72">
        <v>0.359</v>
      </c>
      <c r="G6" s="224" t="s">
        <v>855</v>
      </c>
      <c r="H6" s="224" t="s">
        <v>856</v>
      </c>
      <c r="I6" s="72">
        <v>0.81</v>
      </c>
      <c r="J6" s="224" t="s">
        <v>857</v>
      </c>
      <c r="K6" s="224" t="s">
        <v>856</v>
      </c>
      <c r="L6" s="72">
        <v>0.705</v>
      </c>
      <c r="M6" s="224" t="s">
        <v>858</v>
      </c>
      <c r="N6" s="224" t="s">
        <v>859</v>
      </c>
      <c r="O6" s="72">
        <v>0.935</v>
      </c>
      <c r="P6" s="72" t="s">
        <v>860</v>
      </c>
      <c r="Q6" s="224" t="s">
        <v>861</v>
      </c>
      <c r="R6" s="486">
        <f t="shared" si="1"/>
        <v>0.7424</v>
      </c>
      <c r="S6" s="224"/>
      <c r="T6" s="517">
        <v>0.525</v>
      </c>
      <c r="U6" s="518" t="s">
        <v>864</v>
      </c>
      <c r="V6" s="518">
        <v>0.11</v>
      </c>
      <c r="W6" s="518" t="s">
        <v>865</v>
      </c>
      <c r="X6" s="518">
        <v>0.544</v>
      </c>
      <c r="Y6" s="518" t="s">
        <v>866</v>
      </c>
      <c r="Z6" s="666"/>
      <c r="AA6" s="666"/>
      <c r="AB6" s="520">
        <v>0.373</v>
      </c>
      <c r="AC6" s="521" t="s">
        <v>868</v>
      </c>
      <c r="AD6" s="518">
        <f t="shared" ref="AD6:AD38" si="2">(AB6+X6+V6+T6) / 4</f>
        <v>0.388</v>
      </c>
      <c r="AE6" s="522"/>
      <c r="AF6" s="72" t="s">
        <v>869</v>
      </c>
      <c r="AG6" s="72"/>
      <c r="AH6" s="72" t="s">
        <v>870</v>
      </c>
      <c r="AI6" s="72"/>
      <c r="AJ6" s="72" t="s">
        <v>871</v>
      </c>
      <c r="AK6" s="72"/>
      <c r="AL6" s="72" t="s">
        <v>872</v>
      </c>
      <c r="AM6" s="72"/>
      <c r="AN6" s="142" t="s">
        <v>873</v>
      </c>
      <c r="AO6" s="72">
        <v>0.907</v>
      </c>
      <c r="AP6" s="72" t="s">
        <v>875</v>
      </c>
      <c r="AQ6" s="72" t="s">
        <v>876</v>
      </c>
      <c r="AR6" s="72">
        <v>0.872</v>
      </c>
      <c r="AS6" s="72" t="s">
        <v>877</v>
      </c>
      <c r="AT6" s="72" t="s">
        <v>878</v>
      </c>
      <c r="AU6" s="518">
        <v>0.998</v>
      </c>
      <c r="AV6" s="72" t="s">
        <v>879</v>
      </c>
      <c r="AW6" s="72" t="s">
        <v>880</v>
      </c>
      <c r="AX6" s="518"/>
      <c r="AY6" s="518" t="s">
        <v>1669</v>
      </c>
      <c r="AZ6" s="518" t="s">
        <v>1670</v>
      </c>
      <c r="BA6" s="642"/>
      <c r="BB6" s="642"/>
      <c r="BC6" s="642"/>
      <c r="BD6" s="642"/>
      <c r="BE6" s="642"/>
      <c r="BF6" s="642"/>
      <c r="BG6" s="522"/>
      <c r="BH6" s="72"/>
      <c r="BI6" s="72"/>
      <c r="BJ6" s="72"/>
      <c r="BK6" s="72"/>
      <c r="BL6" s="72"/>
      <c r="BM6" s="72"/>
      <c r="BN6" s="72"/>
      <c r="BO6" s="72"/>
      <c r="BP6" s="518"/>
      <c r="BQ6" s="518" t="s">
        <v>1887</v>
      </c>
      <c r="BR6" s="518"/>
      <c r="BS6" s="518"/>
      <c r="BT6" s="518"/>
      <c r="BU6" s="72" t="s">
        <v>885</v>
      </c>
      <c r="BV6" s="72"/>
      <c r="BW6" s="72" t="s">
        <v>887</v>
      </c>
      <c r="BX6" s="518"/>
      <c r="BY6" s="72" t="s">
        <v>888</v>
      </c>
      <c r="BZ6" s="72"/>
      <c r="CA6" s="72" t="s">
        <v>890</v>
      </c>
      <c r="CB6" s="518"/>
      <c r="CC6" s="518"/>
      <c r="CD6" s="521"/>
    </row>
    <row r="7">
      <c r="A7" s="513"/>
      <c r="B7" s="514" t="s">
        <v>1672</v>
      </c>
      <c r="C7" s="522">
        <v>0.85</v>
      </c>
      <c r="D7" s="224" t="s">
        <v>905</v>
      </c>
      <c r="E7" s="224" t="s">
        <v>906</v>
      </c>
      <c r="F7" s="72">
        <v>0.247</v>
      </c>
      <c r="G7" s="224" t="s">
        <v>907</v>
      </c>
      <c r="H7" s="224" t="s">
        <v>908</v>
      </c>
      <c r="I7" s="72">
        <v>0.778</v>
      </c>
      <c r="J7" s="224" t="s">
        <v>909</v>
      </c>
      <c r="K7" s="224" t="s">
        <v>910</v>
      </c>
      <c r="L7" s="72">
        <v>0.635</v>
      </c>
      <c r="M7" s="224" t="s">
        <v>911</v>
      </c>
      <c r="N7" s="224" t="s">
        <v>912</v>
      </c>
      <c r="O7" s="527">
        <v>0.705</v>
      </c>
      <c r="P7" s="72" t="s">
        <v>913</v>
      </c>
      <c r="Q7" s="532" t="s">
        <v>914</v>
      </c>
      <c r="R7" s="486">
        <f t="shared" si="1"/>
        <v>0.643</v>
      </c>
      <c r="S7" s="533"/>
      <c r="T7" s="517">
        <v>0.403</v>
      </c>
      <c r="U7" s="518" t="s">
        <v>917</v>
      </c>
      <c r="V7" s="518">
        <v>0.077</v>
      </c>
      <c r="W7" s="518" t="s">
        <v>918</v>
      </c>
      <c r="X7" s="518">
        <v>0.475</v>
      </c>
      <c r="Y7" s="518" t="s">
        <v>919</v>
      </c>
      <c r="Z7" s="667"/>
      <c r="AA7" s="667"/>
      <c r="AB7" s="520">
        <v>0.265</v>
      </c>
      <c r="AC7" s="529" t="s">
        <v>921</v>
      </c>
      <c r="AD7" s="518">
        <f t="shared" si="2"/>
        <v>0.305</v>
      </c>
      <c r="AE7" s="530"/>
      <c r="AF7" s="527" t="s">
        <v>1888</v>
      </c>
      <c r="AG7" s="531"/>
      <c r="AH7" s="531"/>
      <c r="AI7" s="531"/>
      <c r="AJ7" s="531"/>
      <c r="AK7" s="531"/>
      <c r="AL7" s="531"/>
      <c r="AM7" s="531"/>
      <c r="AN7" s="532"/>
      <c r="AU7" s="543"/>
      <c r="AV7" s="531"/>
      <c r="AW7" s="531"/>
      <c r="AX7" s="543"/>
      <c r="AY7" s="543"/>
      <c r="AZ7" s="543"/>
      <c r="BA7" s="645"/>
      <c r="BB7" s="645"/>
      <c r="BC7" s="645"/>
      <c r="BD7" s="645"/>
      <c r="BE7" s="645"/>
      <c r="BF7" s="645"/>
      <c r="BG7" s="530"/>
      <c r="BH7" s="531"/>
      <c r="BI7" s="531"/>
      <c r="BJ7" s="531"/>
      <c r="BK7" s="531"/>
      <c r="BL7" s="531"/>
      <c r="BM7" s="531"/>
      <c r="BN7" s="531"/>
      <c r="BO7" s="531"/>
      <c r="BP7" s="543"/>
      <c r="BQ7" s="518"/>
      <c r="BR7" s="518"/>
      <c r="BS7" s="543"/>
      <c r="BT7" s="543"/>
      <c r="BU7" s="531"/>
      <c r="BV7" s="531"/>
      <c r="BW7" s="531"/>
      <c r="BX7" s="543"/>
      <c r="BY7" s="531"/>
      <c r="BZ7" s="531"/>
      <c r="CA7" s="531"/>
      <c r="CB7" s="543"/>
      <c r="CC7" s="543"/>
      <c r="CD7" s="644"/>
    </row>
    <row r="8">
      <c r="A8" s="513"/>
      <c r="B8" s="514" t="s">
        <v>1673</v>
      </c>
      <c r="C8" s="522">
        <v>0.867</v>
      </c>
      <c r="D8" s="224" t="s">
        <v>945</v>
      </c>
      <c r="E8" s="224" t="s">
        <v>946</v>
      </c>
      <c r="F8" s="72">
        <v>0.388</v>
      </c>
      <c r="G8" s="533" t="s">
        <v>947</v>
      </c>
      <c r="H8" s="533" t="s">
        <v>948</v>
      </c>
      <c r="I8" s="72">
        <v>0.782</v>
      </c>
      <c r="J8" s="72" t="s">
        <v>949</v>
      </c>
      <c r="K8" s="224" t="s">
        <v>950</v>
      </c>
      <c r="L8" s="72">
        <v>0.654</v>
      </c>
      <c r="M8" s="533" t="s">
        <v>951</v>
      </c>
      <c r="N8" s="533" t="s">
        <v>952</v>
      </c>
      <c r="O8" s="72">
        <v>0.899</v>
      </c>
      <c r="P8" s="72" t="s">
        <v>953</v>
      </c>
      <c r="Q8" s="540" t="s">
        <v>952</v>
      </c>
      <c r="R8" s="486">
        <f t="shared" si="1"/>
        <v>0.718</v>
      </c>
      <c r="S8" s="527"/>
      <c r="T8" s="517">
        <v>0.467</v>
      </c>
      <c r="U8" s="224" t="s">
        <v>956</v>
      </c>
      <c r="V8" s="518">
        <v>0.106</v>
      </c>
      <c r="W8" s="518" t="s">
        <v>957</v>
      </c>
      <c r="X8" s="518">
        <v>0.541</v>
      </c>
      <c r="Y8" s="518" t="s">
        <v>826</v>
      </c>
      <c r="Z8" s="666"/>
      <c r="AA8" s="666"/>
      <c r="AB8" s="520">
        <v>0.43</v>
      </c>
      <c r="AC8" s="521" t="s">
        <v>959</v>
      </c>
      <c r="AD8" s="518">
        <f t="shared" si="2"/>
        <v>0.386</v>
      </c>
      <c r="AE8" s="522"/>
      <c r="AF8" s="72"/>
      <c r="AG8" s="72"/>
      <c r="AH8" s="72"/>
      <c r="AI8" s="72"/>
      <c r="AJ8" s="72"/>
      <c r="AK8" s="72"/>
      <c r="AL8" s="72"/>
      <c r="AM8" s="72"/>
      <c r="AN8" s="540"/>
      <c r="AO8" s="530" t="s">
        <v>245</v>
      </c>
      <c r="AP8" s="527" t="s">
        <v>965</v>
      </c>
      <c r="AQ8" s="527" t="s">
        <v>966</v>
      </c>
      <c r="AR8" s="541" t="s">
        <v>1889</v>
      </c>
      <c r="AS8" s="531" t="s">
        <v>1890</v>
      </c>
      <c r="AT8" s="72" t="s">
        <v>969</v>
      </c>
      <c r="AU8" s="518" t="s">
        <v>970</v>
      </c>
      <c r="AV8" s="72" t="s">
        <v>971</v>
      </c>
      <c r="AW8" s="531" t="s">
        <v>1891</v>
      </c>
      <c r="AX8" s="518"/>
      <c r="AY8" s="518"/>
      <c r="AZ8" s="518"/>
      <c r="BA8" s="642"/>
      <c r="BB8" s="642"/>
      <c r="BC8" s="642"/>
      <c r="BD8" s="642"/>
      <c r="BE8" s="642"/>
      <c r="BF8" s="642"/>
      <c r="BG8" s="522"/>
      <c r="BH8" s="72"/>
      <c r="BI8" s="72"/>
      <c r="BJ8" s="72"/>
      <c r="BK8" s="72"/>
      <c r="BL8" s="72"/>
      <c r="BM8" s="72"/>
      <c r="BN8" s="72"/>
      <c r="BO8" s="72"/>
      <c r="BP8" s="518"/>
      <c r="BQ8" s="518"/>
      <c r="BR8" s="518"/>
      <c r="BS8" s="518"/>
      <c r="BT8" s="518"/>
      <c r="BU8" s="72" t="s">
        <v>977</v>
      </c>
      <c r="BV8" s="72"/>
      <c r="BW8" s="72" t="s">
        <v>979</v>
      </c>
      <c r="BX8" s="518"/>
      <c r="BY8" s="72" t="s">
        <v>980</v>
      </c>
      <c r="BZ8" s="72"/>
      <c r="CA8" s="72" t="s">
        <v>982</v>
      </c>
      <c r="CB8" s="518"/>
      <c r="CC8" s="518"/>
      <c r="CD8" s="521"/>
    </row>
    <row r="9">
      <c r="A9" s="513"/>
      <c r="B9" s="514" t="s">
        <v>261</v>
      </c>
      <c r="C9" s="522">
        <v>0.852</v>
      </c>
      <c r="D9" s="533" t="s">
        <v>985</v>
      </c>
      <c r="E9" s="533" t="s">
        <v>986</v>
      </c>
      <c r="F9" s="72">
        <v>0.318</v>
      </c>
      <c r="G9" s="533" t="s">
        <v>987</v>
      </c>
      <c r="H9" s="533" t="s">
        <v>988</v>
      </c>
      <c r="I9" s="72">
        <v>0.769</v>
      </c>
      <c r="J9" s="72" t="s">
        <v>989</v>
      </c>
      <c r="K9" s="72" t="s">
        <v>990</v>
      </c>
      <c r="L9" s="72">
        <v>0.6615</v>
      </c>
      <c r="M9" s="224" t="s">
        <v>991</v>
      </c>
      <c r="N9" s="224" t="s">
        <v>992</v>
      </c>
      <c r="O9" s="72">
        <v>0.77</v>
      </c>
      <c r="P9" s="72" t="s">
        <v>993</v>
      </c>
      <c r="Q9" s="540" t="s">
        <v>994</v>
      </c>
      <c r="R9" s="486">
        <f t="shared" si="1"/>
        <v>0.6741</v>
      </c>
      <c r="S9" s="527"/>
      <c r="T9" s="517">
        <v>0.465</v>
      </c>
      <c r="U9" s="518" t="s">
        <v>997</v>
      </c>
      <c r="V9" s="518">
        <v>0.111</v>
      </c>
      <c r="W9" s="518"/>
      <c r="X9" s="518">
        <v>0.472</v>
      </c>
      <c r="Y9" s="518" t="s">
        <v>998</v>
      </c>
      <c r="Z9" s="666"/>
      <c r="AA9" s="666" t="s">
        <v>999</v>
      </c>
      <c r="AB9" s="520">
        <v>0.309</v>
      </c>
      <c r="AC9" s="521" t="s">
        <v>1000</v>
      </c>
      <c r="AD9" s="518">
        <f t="shared" si="2"/>
        <v>0.33925</v>
      </c>
      <c r="AE9" s="517">
        <v>0.146</v>
      </c>
      <c r="AF9" s="72" t="s">
        <v>1001</v>
      </c>
      <c r="AG9" s="72"/>
      <c r="AH9" s="72" t="s">
        <v>1002</v>
      </c>
      <c r="AI9" s="72"/>
      <c r="AJ9" s="72" t="s">
        <v>1003</v>
      </c>
      <c r="AK9" s="72"/>
      <c r="AL9" s="72" t="s">
        <v>1004</v>
      </c>
      <c r="AM9" s="72"/>
      <c r="AN9" s="540" t="s">
        <v>1005</v>
      </c>
      <c r="AO9" s="522"/>
      <c r="AP9" s="72" t="s">
        <v>1008</v>
      </c>
      <c r="AQ9" s="224" t="s">
        <v>1007</v>
      </c>
      <c r="AR9" s="72"/>
      <c r="AS9" s="224" t="s">
        <v>1677</v>
      </c>
      <c r="AT9" s="72" t="s">
        <v>1677</v>
      </c>
      <c r="AU9" s="518"/>
      <c r="AV9" s="72" t="s">
        <v>1010</v>
      </c>
      <c r="AW9" s="72" t="s">
        <v>1011</v>
      </c>
      <c r="AX9" s="518"/>
      <c r="AY9" s="518"/>
      <c r="AZ9" s="518"/>
      <c r="BA9" s="642"/>
      <c r="BB9" s="642"/>
      <c r="BC9" s="642"/>
      <c r="BD9" s="642"/>
      <c r="BE9" s="642"/>
      <c r="BF9" s="642"/>
      <c r="BG9" s="522"/>
      <c r="BH9" s="72"/>
      <c r="BI9" s="72"/>
      <c r="BJ9" s="72"/>
      <c r="BK9" s="72"/>
      <c r="BL9" s="72"/>
      <c r="BM9" s="72"/>
      <c r="BN9" s="72"/>
      <c r="BO9" s="72"/>
      <c r="BP9" s="518"/>
      <c r="BQ9" s="518"/>
      <c r="BR9" s="518"/>
      <c r="BS9" s="518"/>
      <c r="BT9" s="518"/>
      <c r="BU9" s="72" t="s">
        <v>1015</v>
      </c>
      <c r="BV9" s="72"/>
      <c r="BW9" s="72" t="s">
        <v>1017</v>
      </c>
      <c r="BX9" s="518"/>
      <c r="BY9" s="72" t="s">
        <v>1018</v>
      </c>
      <c r="BZ9" s="72"/>
      <c r="CA9" s="72" t="s">
        <v>1020</v>
      </c>
      <c r="CB9" s="518"/>
      <c r="CC9" s="518"/>
      <c r="CD9" s="521"/>
    </row>
    <row r="10">
      <c r="A10" s="513"/>
      <c r="B10" s="514" t="s">
        <v>1678</v>
      </c>
      <c r="C10" s="25"/>
      <c r="D10" s="533" t="s">
        <v>1679</v>
      </c>
      <c r="E10" s="533"/>
      <c r="F10" s="72" t="s">
        <v>1142</v>
      </c>
      <c r="G10" s="533" t="s">
        <v>1680</v>
      </c>
      <c r="H10" s="533"/>
      <c r="I10" s="72"/>
      <c r="J10" s="72"/>
      <c r="K10" s="72"/>
      <c r="L10" s="72"/>
      <c r="M10" s="224" t="s">
        <v>1681</v>
      </c>
      <c r="N10" s="224"/>
      <c r="O10" s="26"/>
      <c r="P10" s="72" t="s">
        <v>1682</v>
      </c>
      <c r="Q10" s="540"/>
      <c r="R10" s="486" t="str">
        <f t="shared" si="1"/>
        <v>#VALUE!</v>
      </c>
      <c r="S10" s="527"/>
      <c r="T10" s="517">
        <v>0.344</v>
      </c>
      <c r="U10" s="591"/>
      <c r="V10" s="591"/>
      <c r="W10" s="591"/>
      <c r="X10" s="591"/>
      <c r="Y10" s="518" t="s">
        <v>1683</v>
      </c>
      <c r="Z10" s="668"/>
      <c r="AA10" s="668"/>
      <c r="AB10" s="648"/>
      <c r="AC10" s="649"/>
      <c r="AD10" s="518">
        <f t="shared" si="2"/>
        <v>0.086</v>
      </c>
      <c r="AE10" s="25"/>
      <c r="AF10" s="26"/>
      <c r="AG10" s="26"/>
      <c r="AH10" s="26"/>
      <c r="AI10" s="26"/>
      <c r="AJ10" s="26"/>
      <c r="AK10" s="26"/>
      <c r="AL10" s="26"/>
      <c r="AM10" s="26"/>
      <c r="AN10" s="540"/>
      <c r="AO10" s="522" t="s">
        <v>1684</v>
      </c>
      <c r="AP10" s="72" t="s">
        <v>1685</v>
      </c>
      <c r="AQ10" s="72" t="s">
        <v>1686</v>
      </c>
      <c r="AR10" s="72" t="s">
        <v>1687</v>
      </c>
      <c r="AS10" s="72" t="s">
        <v>1688</v>
      </c>
      <c r="AT10" s="72" t="s">
        <v>1689</v>
      </c>
      <c r="AU10" s="518">
        <v>0.611</v>
      </c>
      <c r="AV10" s="72" t="s">
        <v>1690</v>
      </c>
      <c r="AW10" s="72" t="s">
        <v>1691</v>
      </c>
      <c r="AX10" s="591"/>
      <c r="AY10" s="591"/>
      <c r="AZ10" s="591"/>
      <c r="BA10" s="650"/>
      <c r="BB10" s="650"/>
      <c r="BC10" s="650"/>
      <c r="BD10" s="650"/>
      <c r="BE10" s="650"/>
      <c r="BF10" s="650"/>
      <c r="BG10" s="25"/>
      <c r="BH10" s="26"/>
      <c r="BI10" s="26"/>
      <c r="BJ10" s="26"/>
      <c r="BK10" s="26"/>
      <c r="BL10" s="26"/>
      <c r="BM10" s="26"/>
      <c r="BN10" s="26"/>
      <c r="BO10" s="26"/>
      <c r="BP10" s="591"/>
      <c r="BQ10" s="591"/>
      <c r="BR10" s="591"/>
      <c r="BS10" s="591"/>
      <c r="BT10" s="591"/>
      <c r="BU10" s="72" t="s">
        <v>1692</v>
      </c>
      <c r="BV10" s="72"/>
      <c r="BW10" s="72" t="s">
        <v>1693</v>
      </c>
      <c r="BX10" s="518"/>
      <c r="BY10" s="72" t="s">
        <v>1694</v>
      </c>
      <c r="BZ10" s="72"/>
      <c r="CA10" s="72" t="s">
        <v>1695</v>
      </c>
      <c r="CB10" s="591"/>
      <c r="CC10" s="591"/>
      <c r="CD10" s="649"/>
    </row>
    <row r="11">
      <c r="A11" s="513"/>
      <c r="B11" s="514" t="s">
        <v>305</v>
      </c>
      <c r="C11" s="530">
        <v>0.926</v>
      </c>
      <c r="D11" s="224" t="s">
        <v>1023</v>
      </c>
      <c r="E11" s="224" t="s">
        <v>1024</v>
      </c>
      <c r="F11" s="72">
        <v>0.58</v>
      </c>
      <c r="G11" s="533" t="s">
        <v>1025</v>
      </c>
      <c r="H11" s="533" t="s">
        <v>1026</v>
      </c>
      <c r="I11" s="531">
        <v>0.804</v>
      </c>
      <c r="J11" s="531" t="s">
        <v>1892</v>
      </c>
      <c r="K11" s="72" t="s">
        <v>1028</v>
      </c>
      <c r="L11" s="531">
        <v>0.72</v>
      </c>
      <c r="M11" s="484" t="s">
        <v>1893</v>
      </c>
      <c r="N11" s="533" t="s">
        <v>1030</v>
      </c>
      <c r="O11" s="72">
        <v>0.885</v>
      </c>
      <c r="P11" s="72" t="s">
        <v>1031</v>
      </c>
      <c r="Q11" s="540" t="s">
        <v>1032</v>
      </c>
      <c r="R11" s="486">
        <f t="shared" si="1"/>
        <v>0.783</v>
      </c>
      <c r="S11" s="527"/>
      <c r="T11" s="517">
        <v>0.601</v>
      </c>
      <c r="U11" s="543" t="s">
        <v>1894</v>
      </c>
      <c r="V11" s="518">
        <v>0.124</v>
      </c>
      <c r="W11" s="518" t="s">
        <v>1035</v>
      </c>
      <c r="X11" s="518">
        <v>0.596</v>
      </c>
      <c r="Y11" s="518" t="s">
        <v>1036</v>
      </c>
      <c r="Z11" s="666"/>
      <c r="AA11" s="666"/>
      <c r="AB11" s="520">
        <v>0.447</v>
      </c>
      <c r="AC11" s="521" t="s">
        <v>1038</v>
      </c>
      <c r="AD11" s="518">
        <f t="shared" si="2"/>
        <v>0.442</v>
      </c>
      <c r="AE11" s="522"/>
      <c r="AF11" s="531" t="s">
        <v>1895</v>
      </c>
      <c r="AG11" s="72"/>
      <c r="AH11" s="531" t="s">
        <v>1040</v>
      </c>
      <c r="AI11" s="72"/>
      <c r="AJ11" s="531" t="s">
        <v>1896</v>
      </c>
      <c r="AK11" s="72"/>
      <c r="AL11" s="72" t="s">
        <v>1042</v>
      </c>
      <c r="AM11" s="72"/>
      <c r="AN11" s="146" t="s">
        <v>1043</v>
      </c>
      <c r="AO11" s="72">
        <v>0.885</v>
      </c>
      <c r="AP11" s="531" t="s">
        <v>1897</v>
      </c>
      <c r="AQ11" s="72" t="s">
        <v>1045</v>
      </c>
      <c r="AR11" s="72">
        <v>0.916</v>
      </c>
      <c r="AS11" s="72" t="s">
        <v>1046</v>
      </c>
      <c r="AT11" s="72" t="s">
        <v>1898</v>
      </c>
      <c r="AU11" s="518">
        <v>1.0</v>
      </c>
      <c r="AV11" s="531" t="s">
        <v>1899</v>
      </c>
      <c r="AW11" s="72" t="s">
        <v>1049</v>
      </c>
      <c r="AX11" s="518"/>
      <c r="AY11" s="518" t="s">
        <v>1704</v>
      </c>
      <c r="AZ11" s="224" t="s">
        <v>1705</v>
      </c>
      <c r="BA11" s="642"/>
      <c r="BB11" s="642"/>
      <c r="BC11" s="642"/>
      <c r="BD11" s="642"/>
      <c r="BE11" s="642"/>
      <c r="BF11" s="642"/>
      <c r="BG11" s="522"/>
      <c r="BH11" s="72"/>
      <c r="BI11" s="72"/>
      <c r="BJ11" s="72"/>
      <c r="BK11" s="72"/>
      <c r="BL11" s="72"/>
      <c r="BM11" s="72"/>
      <c r="BN11" s="72"/>
      <c r="BO11" s="72"/>
      <c r="BP11" s="518"/>
      <c r="BQ11" s="658"/>
      <c r="BR11" s="658"/>
      <c r="BS11" s="518"/>
      <c r="BT11" s="518"/>
      <c r="BU11" s="484" t="s">
        <v>1900</v>
      </c>
      <c r="BV11" s="484"/>
      <c r="BW11" s="72" t="s">
        <v>1901</v>
      </c>
      <c r="BX11" s="518"/>
      <c r="BY11" s="531" t="s">
        <v>1057</v>
      </c>
      <c r="BZ11" s="531"/>
      <c r="CA11" s="531" t="s">
        <v>1059</v>
      </c>
      <c r="CB11" s="518"/>
      <c r="CC11" s="518"/>
      <c r="CD11" s="521"/>
    </row>
    <row r="12">
      <c r="A12" s="513"/>
      <c r="B12" s="514" t="s">
        <v>345</v>
      </c>
      <c r="C12" s="530"/>
      <c r="D12" s="224" t="s">
        <v>1062</v>
      </c>
      <c r="E12" s="484"/>
      <c r="F12" s="72"/>
      <c r="G12" s="533" t="s">
        <v>1064</v>
      </c>
      <c r="H12" s="533"/>
      <c r="I12" s="531"/>
      <c r="J12" s="531" t="s">
        <v>1902</v>
      </c>
      <c r="K12" s="531"/>
      <c r="L12" s="531"/>
      <c r="M12" s="484" t="s">
        <v>1903</v>
      </c>
      <c r="N12" s="484"/>
      <c r="O12" s="72"/>
      <c r="P12" s="72" t="s">
        <v>1070</v>
      </c>
      <c r="Q12" s="540"/>
      <c r="R12" s="486">
        <f t="shared" si="1"/>
        <v>0</v>
      </c>
      <c r="S12" s="527"/>
      <c r="T12" s="517"/>
      <c r="U12" s="518"/>
      <c r="V12" s="518"/>
      <c r="W12" s="518"/>
      <c r="X12" s="518"/>
      <c r="Y12" s="518"/>
      <c r="Z12" s="666"/>
      <c r="AA12" s="666"/>
      <c r="AB12" s="520"/>
      <c r="AC12" s="521"/>
      <c r="AD12" s="518">
        <f t="shared" si="2"/>
        <v>0</v>
      </c>
      <c r="AE12" s="522"/>
      <c r="AF12" s="531"/>
      <c r="AG12" s="72"/>
      <c r="AH12" s="531"/>
      <c r="AI12" s="72"/>
      <c r="AJ12" s="531"/>
      <c r="AK12" s="72"/>
      <c r="AL12" s="531"/>
      <c r="AM12" s="72"/>
      <c r="AN12" s="146"/>
      <c r="AO12" s="72"/>
      <c r="AP12" s="531"/>
      <c r="AQ12" s="531"/>
      <c r="AR12" s="72"/>
      <c r="AS12" s="72"/>
      <c r="AT12" s="72"/>
      <c r="AU12" s="518"/>
      <c r="AV12" s="531"/>
      <c r="AW12" s="72"/>
      <c r="AX12" s="518"/>
      <c r="AY12" s="518"/>
      <c r="AZ12" s="518"/>
      <c r="BA12" s="642"/>
      <c r="BB12" s="642"/>
      <c r="BC12" s="642"/>
      <c r="BD12" s="642"/>
      <c r="BE12" s="642"/>
      <c r="BF12" s="642"/>
      <c r="BG12" s="522"/>
      <c r="BH12" s="72"/>
      <c r="BI12" s="72"/>
      <c r="BJ12" s="72"/>
      <c r="BK12" s="72"/>
      <c r="BL12" s="72"/>
      <c r="BM12" s="72"/>
      <c r="BN12" s="72"/>
      <c r="BO12" s="72"/>
      <c r="BP12" s="518"/>
      <c r="BQ12" s="658"/>
      <c r="BR12" s="658"/>
      <c r="BS12" s="518"/>
      <c r="BT12" s="518"/>
      <c r="BU12" s="484"/>
      <c r="BV12" s="484"/>
      <c r="BW12" s="531"/>
      <c r="BX12" s="518"/>
      <c r="BY12" s="531"/>
      <c r="BZ12" s="531"/>
      <c r="CA12" s="531"/>
      <c r="CB12" s="518"/>
      <c r="CC12" s="518"/>
      <c r="CD12" s="521"/>
    </row>
    <row r="13" hidden="1">
      <c r="A13" s="513"/>
      <c r="B13" s="514" t="s">
        <v>1709</v>
      </c>
      <c r="C13" s="530"/>
      <c r="D13" s="224"/>
      <c r="E13" s="484"/>
      <c r="F13" s="72"/>
      <c r="G13" s="533"/>
      <c r="H13" s="533"/>
      <c r="I13" s="531"/>
      <c r="J13" s="531"/>
      <c r="K13" s="531"/>
      <c r="L13" s="531"/>
      <c r="M13" s="224" t="s">
        <v>1107</v>
      </c>
      <c r="N13" s="484"/>
      <c r="O13" s="72"/>
      <c r="P13" s="531" t="s">
        <v>1710</v>
      </c>
      <c r="Q13" s="540" t="s">
        <v>1110</v>
      </c>
      <c r="R13" s="486">
        <f t="shared" si="1"/>
        <v>0</v>
      </c>
      <c r="S13" s="527"/>
      <c r="T13" s="517"/>
      <c r="U13" s="518"/>
      <c r="V13" s="518"/>
      <c r="W13" s="518"/>
      <c r="X13" s="518"/>
      <c r="Y13" s="518"/>
      <c r="Z13" s="666"/>
      <c r="AA13" s="666"/>
      <c r="AB13" s="520"/>
      <c r="AC13" s="521"/>
      <c r="AD13" s="518">
        <f t="shared" si="2"/>
        <v>0</v>
      </c>
      <c r="AE13" s="522"/>
      <c r="AF13" s="531"/>
      <c r="AG13" s="72"/>
      <c r="AH13" s="531"/>
      <c r="AI13" s="72"/>
      <c r="AJ13" s="531"/>
      <c r="AK13" s="72"/>
      <c r="AL13" s="531"/>
      <c r="AM13" s="72"/>
      <c r="AN13" s="146"/>
      <c r="AO13" s="72"/>
      <c r="AP13" s="531"/>
      <c r="AQ13" s="531"/>
      <c r="AR13" s="531"/>
      <c r="AS13" s="72"/>
      <c r="AT13" s="72"/>
      <c r="AU13" s="518"/>
      <c r="AV13" s="531"/>
      <c r="AW13" s="72"/>
      <c r="AX13" s="518"/>
      <c r="AY13" s="518"/>
      <c r="AZ13" s="518"/>
      <c r="BA13" s="642"/>
      <c r="BB13" s="642"/>
      <c r="BC13" s="642"/>
      <c r="BD13" s="642"/>
      <c r="BE13" s="642"/>
      <c r="BF13" s="642"/>
      <c r="BG13" s="522"/>
      <c r="BH13" s="72"/>
      <c r="BI13" s="72"/>
      <c r="BJ13" s="72"/>
      <c r="BK13" s="72"/>
      <c r="BL13" s="72"/>
      <c r="BM13" s="72"/>
      <c r="BN13" s="72"/>
      <c r="BO13" s="72"/>
      <c r="BP13" s="518"/>
      <c r="BQ13" s="658"/>
      <c r="BR13" s="658"/>
      <c r="BS13" s="518"/>
      <c r="BT13" s="518"/>
      <c r="BU13" s="484"/>
      <c r="BV13" s="484"/>
      <c r="BW13" s="531"/>
      <c r="BX13" s="518"/>
      <c r="BY13" s="531"/>
      <c r="BZ13" s="531"/>
      <c r="CA13" s="531"/>
      <c r="CB13" s="518"/>
      <c r="CC13" s="518"/>
      <c r="CD13" s="521"/>
    </row>
    <row r="14">
      <c r="A14" s="560"/>
      <c r="B14" s="561" t="s">
        <v>377</v>
      </c>
      <c r="C14" s="562">
        <v>0.831</v>
      </c>
      <c r="D14" s="492" t="s">
        <v>1101</v>
      </c>
      <c r="E14" s="492" t="s">
        <v>1102</v>
      </c>
      <c r="F14" s="563">
        <v>0.792</v>
      </c>
      <c r="G14" s="492" t="s">
        <v>1103</v>
      </c>
      <c r="H14" s="669" t="s">
        <v>1104</v>
      </c>
      <c r="I14" s="563">
        <v>0.628</v>
      </c>
      <c r="J14" s="563" t="s">
        <v>1105</v>
      </c>
      <c r="K14" s="563" t="s">
        <v>1106</v>
      </c>
      <c r="L14" s="563">
        <v>0.605</v>
      </c>
      <c r="M14" s="669" t="s">
        <v>1107</v>
      </c>
      <c r="N14" s="669" t="s">
        <v>1108</v>
      </c>
      <c r="O14" s="563">
        <v>0.928</v>
      </c>
      <c r="P14" s="565" t="s">
        <v>1904</v>
      </c>
      <c r="Q14" s="573" t="s">
        <v>1110</v>
      </c>
      <c r="R14" s="486">
        <f t="shared" si="1"/>
        <v>0.7568</v>
      </c>
      <c r="S14" s="563"/>
      <c r="T14" s="567">
        <v>0.61</v>
      </c>
      <c r="U14" s="568" t="s">
        <v>1113</v>
      </c>
      <c r="V14" s="569">
        <v>0.149</v>
      </c>
      <c r="W14" s="568" t="s">
        <v>1905</v>
      </c>
      <c r="X14" s="568">
        <v>0.464</v>
      </c>
      <c r="Y14" s="568" t="s">
        <v>1115</v>
      </c>
      <c r="Z14" s="670"/>
      <c r="AA14" s="670"/>
      <c r="AB14" s="571">
        <v>0.365</v>
      </c>
      <c r="AC14" s="572" t="s">
        <v>1117</v>
      </c>
      <c r="AD14" s="518">
        <f t="shared" si="2"/>
        <v>0.397</v>
      </c>
      <c r="AE14" s="562"/>
      <c r="AF14" s="563" t="s">
        <v>1118</v>
      </c>
      <c r="AG14" s="563"/>
      <c r="AH14" s="563" t="s">
        <v>1119</v>
      </c>
      <c r="AI14" s="563"/>
      <c r="AJ14" s="563" t="s">
        <v>1906</v>
      </c>
      <c r="AK14" s="563"/>
      <c r="AL14" s="563" t="s">
        <v>1121</v>
      </c>
      <c r="AM14" s="563"/>
      <c r="AN14" s="573" t="s">
        <v>1083</v>
      </c>
      <c r="AO14" s="562" t="s">
        <v>1907</v>
      </c>
      <c r="AP14" s="563" t="s">
        <v>1908</v>
      </c>
      <c r="AQ14" s="563" t="s">
        <v>1123</v>
      </c>
      <c r="AR14" s="563" t="s">
        <v>1909</v>
      </c>
      <c r="AS14" s="563" t="s">
        <v>1124</v>
      </c>
      <c r="AT14" s="563" t="s">
        <v>1125</v>
      </c>
      <c r="AU14" s="568"/>
      <c r="AV14" s="563" t="s">
        <v>1910</v>
      </c>
      <c r="AW14" s="563" t="s">
        <v>1911</v>
      </c>
      <c r="AX14" s="568"/>
      <c r="AY14" s="568"/>
      <c r="AZ14" s="568"/>
      <c r="BA14" s="653"/>
      <c r="BB14" s="653"/>
      <c r="BC14" s="653"/>
      <c r="BD14" s="653"/>
      <c r="BE14" s="653"/>
      <c r="BF14" s="653"/>
      <c r="BG14" s="562"/>
      <c r="BH14" s="563"/>
      <c r="BI14" s="563"/>
      <c r="BJ14" s="563"/>
      <c r="BK14" s="563"/>
      <c r="BL14" s="563"/>
      <c r="BM14" s="563"/>
      <c r="BN14" s="563"/>
      <c r="BO14" s="563"/>
      <c r="BP14" s="568"/>
      <c r="BQ14" s="568"/>
      <c r="BR14" s="568"/>
      <c r="BS14" s="568"/>
      <c r="BT14" s="568"/>
      <c r="BU14" s="563" t="s">
        <v>1912</v>
      </c>
      <c r="BV14" s="563"/>
      <c r="BW14" s="563" t="s">
        <v>1913</v>
      </c>
      <c r="BX14" s="568"/>
      <c r="BY14" s="563" t="s">
        <v>1135</v>
      </c>
      <c r="BZ14" s="563"/>
      <c r="CA14" s="563" t="s">
        <v>1914</v>
      </c>
      <c r="CB14" s="568"/>
      <c r="CC14" s="568"/>
      <c r="CD14" s="572"/>
    </row>
    <row r="15" hidden="1">
      <c r="A15" s="496" t="s">
        <v>1915</v>
      </c>
      <c r="B15" s="496" t="s">
        <v>1140</v>
      </c>
      <c r="C15" s="505">
        <v>0.832</v>
      </c>
      <c r="D15" s="486" t="s">
        <v>1141</v>
      </c>
      <c r="E15" s="486"/>
      <c r="F15" s="457" t="s">
        <v>1142</v>
      </c>
      <c r="G15" s="486" t="s">
        <v>1143</v>
      </c>
      <c r="H15" s="486"/>
      <c r="I15" s="457">
        <v>0.679</v>
      </c>
      <c r="J15" s="486" t="s">
        <v>1144</v>
      </c>
      <c r="K15" s="486"/>
      <c r="L15" s="457">
        <v>0.462</v>
      </c>
      <c r="M15" s="486" t="s">
        <v>1145</v>
      </c>
      <c r="N15" s="486"/>
      <c r="O15" s="580">
        <v>0.914</v>
      </c>
      <c r="P15" s="457" t="s">
        <v>1146</v>
      </c>
      <c r="Q15" s="506"/>
      <c r="R15" s="486" t="str">
        <f t="shared" si="1"/>
        <v>#VALUE!</v>
      </c>
      <c r="S15" s="486"/>
      <c r="T15" s="581">
        <v>0.403</v>
      </c>
      <c r="U15" s="507" t="s">
        <v>1147</v>
      </c>
      <c r="V15" s="582"/>
      <c r="W15" s="507" t="s">
        <v>1148</v>
      </c>
      <c r="X15" s="582"/>
      <c r="Y15" s="583" t="s">
        <v>1149</v>
      </c>
      <c r="Z15" s="671"/>
      <c r="AA15" s="672" t="s">
        <v>1150</v>
      </c>
      <c r="AB15" s="584"/>
      <c r="AC15" s="490" t="s">
        <v>1151</v>
      </c>
      <c r="AD15" s="518">
        <f t="shared" si="2"/>
        <v>0.10075</v>
      </c>
      <c r="AE15" s="586"/>
      <c r="AF15" s="587" t="s">
        <v>1152</v>
      </c>
      <c r="AG15" s="580"/>
      <c r="AH15" s="580"/>
      <c r="AI15" s="580"/>
      <c r="AJ15" s="580"/>
      <c r="AK15" s="580"/>
      <c r="AL15" s="580"/>
      <c r="AM15" s="580"/>
      <c r="AO15" s="505" t="s">
        <v>1153</v>
      </c>
      <c r="AP15" s="224" t="s">
        <v>1154</v>
      </c>
      <c r="AQ15" s="457" t="s">
        <v>1155</v>
      </c>
      <c r="AR15" s="587" t="s">
        <v>1156</v>
      </c>
      <c r="AS15" s="587" t="s">
        <v>1157</v>
      </c>
      <c r="AT15" s="587" t="s">
        <v>1158</v>
      </c>
      <c r="AU15" s="582">
        <v>1.0</v>
      </c>
      <c r="AV15" s="587" t="s">
        <v>1159</v>
      </c>
      <c r="AW15" s="587" t="s">
        <v>1160</v>
      </c>
      <c r="AX15" s="582"/>
      <c r="AY15" s="583"/>
      <c r="AZ15" s="583"/>
      <c r="BA15" s="655"/>
      <c r="BB15" s="655"/>
      <c r="BC15" s="637"/>
      <c r="BD15" s="637"/>
      <c r="BE15" s="637"/>
      <c r="BF15" s="637"/>
      <c r="BG15" s="656" t="s">
        <v>1716</v>
      </c>
      <c r="BH15" s="457" t="s">
        <v>1717</v>
      </c>
      <c r="BI15" s="457" t="s">
        <v>1718</v>
      </c>
      <c r="BJ15" s="580"/>
      <c r="BK15" s="587"/>
      <c r="BL15" s="587"/>
      <c r="BM15" s="580"/>
      <c r="BN15" s="587"/>
      <c r="BO15" s="587"/>
      <c r="BP15" s="583">
        <v>0.28</v>
      </c>
      <c r="BQ15" s="583" t="s">
        <v>250</v>
      </c>
      <c r="BR15" s="583"/>
      <c r="BS15" s="583" t="s">
        <v>1161</v>
      </c>
      <c r="BT15" s="583" t="s">
        <v>1719</v>
      </c>
      <c r="BU15" s="587" t="s">
        <v>1162</v>
      </c>
      <c r="BV15" s="587"/>
      <c r="BW15" s="587" t="s">
        <v>1163</v>
      </c>
      <c r="BX15" s="583"/>
      <c r="BY15" s="587" t="s">
        <v>1164</v>
      </c>
      <c r="BZ15" s="587"/>
      <c r="CA15" s="587" t="s">
        <v>1165</v>
      </c>
      <c r="CB15" s="582"/>
      <c r="CC15" s="582"/>
      <c r="CD15" s="490"/>
    </row>
    <row r="16" hidden="1">
      <c r="A16" s="590"/>
      <c r="B16" s="514" t="s">
        <v>1166</v>
      </c>
      <c r="C16" s="522"/>
      <c r="D16" s="484"/>
      <c r="E16" s="484"/>
      <c r="F16" s="72"/>
      <c r="G16" s="484"/>
      <c r="H16" s="484"/>
      <c r="I16" s="72"/>
      <c r="J16" s="224"/>
      <c r="K16" s="224"/>
      <c r="L16" s="72"/>
      <c r="O16" s="72"/>
      <c r="P16" s="72"/>
      <c r="Q16" s="142"/>
      <c r="R16" s="486">
        <f t="shared" si="1"/>
        <v>0</v>
      </c>
      <c r="S16" s="224"/>
      <c r="T16" s="517"/>
      <c r="U16" s="658"/>
      <c r="V16" s="518"/>
      <c r="W16" s="518"/>
      <c r="X16" s="518"/>
      <c r="Y16" s="518"/>
      <c r="Z16" s="666"/>
      <c r="AA16" s="673"/>
      <c r="AB16" s="520"/>
      <c r="AC16" s="658"/>
      <c r="AD16" s="518">
        <f t="shared" si="2"/>
        <v>0</v>
      </c>
      <c r="AE16" s="522"/>
      <c r="AF16" s="72"/>
      <c r="AG16" s="72"/>
      <c r="AH16" s="72"/>
      <c r="AI16" s="72"/>
      <c r="AJ16" s="72"/>
      <c r="AK16" s="72"/>
      <c r="AL16" s="72"/>
      <c r="AM16" s="72"/>
      <c r="AN16" s="142"/>
      <c r="AO16" s="522"/>
      <c r="AR16" s="72"/>
      <c r="AS16" s="72"/>
      <c r="AT16" s="72"/>
      <c r="AU16" s="518"/>
      <c r="AV16" s="72"/>
      <c r="AW16" s="72"/>
      <c r="AX16" s="518"/>
      <c r="AY16" s="658"/>
      <c r="AZ16" s="658"/>
      <c r="BA16" s="642"/>
      <c r="BB16" s="642"/>
      <c r="BC16" s="638"/>
      <c r="BD16" s="638"/>
      <c r="BE16" s="638"/>
      <c r="BF16" s="638"/>
      <c r="BG16" s="522"/>
      <c r="BJ16" s="72"/>
      <c r="BK16" s="72"/>
      <c r="BL16" s="72"/>
      <c r="BM16" s="72"/>
      <c r="BP16" s="658"/>
      <c r="BQ16" s="658"/>
      <c r="BR16" s="658"/>
      <c r="BS16" s="658"/>
      <c r="BT16" s="658"/>
      <c r="BX16" s="658"/>
      <c r="CB16" s="518"/>
      <c r="CC16" s="518"/>
      <c r="CD16" s="658"/>
    </row>
    <row r="17" hidden="1">
      <c r="A17" s="590"/>
      <c r="B17" s="514" t="s">
        <v>1167</v>
      </c>
      <c r="C17" s="522"/>
      <c r="D17" s="533" t="s">
        <v>1168</v>
      </c>
      <c r="E17" s="533"/>
      <c r="F17" s="72"/>
      <c r="G17" s="533" t="s">
        <v>1169</v>
      </c>
      <c r="H17" s="533"/>
      <c r="I17" s="72"/>
      <c r="J17" s="224" t="s">
        <v>1170</v>
      </c>
      <c r="K17" s="224"/>
      <c r="L17" s="72"/>
      <c r="M17" s="224" t="s">
        <v>1171</v>
      </c>
      <c r="N17" s="224"/>
      <c r="O17" s="72"/>
      <c r="P17" s="72" t="s">
        <v>1172</v>
      </c>
      <c r="Q17" s="142"/>
      <c r="R17" s="486">
        <f t="shared" si="1"/>
        <v>0</v>
      </c>
      <c r="S17" s="224"/>
      <c r="T17" s="517"/>
      <c r="U17" s="518" t="s">
        <v>1173</v>
      </c>
      <c r="V17" s="518"/>
      <c r="W17" s="518" t="s">
        <v>1174</v>
      </c>
      <c r="X17" s="518"/>
      <c r="Y17" s="518"/>
      <c r="Z17" s="666"/>
      <c r="AA17" s="666"/>
      <c r="AB17" s="520"/>
      <c r="AC17" s="521"/>
      <c r="AD17" s="518">
        <f t="shared" si="2"/>
        <v>0</v>
      </c>
      <c r="AE17" s="522"/>
      <c r="AF17" s="72"/>
      <c r="AG17" s="72"/>
      <c r="AH17" s="72"/>
      <c r="AI17" s="72"/>
      <c r="AJ17" s="72"/>
      <c r="AK17" s="72"/>
      <c r="AL17" s="72"/>
      <c r="AM17" s="72"/>
      <c r="AN17" s="142"/>
      <c r="AO17" s="522"/>
      <c r="AP17" s="72"/>
      <c r="AQ17" s="72"/>
      <c r="AR17" s="72"/>
      <c r="AS17" s="72"/>
      <c r="AT17" s="72"/>
      <c r="AU17" s="518"/>
      <c r="AV17" s="72"/>
      <c r="AW17" s="72"/>
      <c r="AX17" s="518"/>
      <c r="AY17" s="518"/>
      <c r="AZ17" s="518"/>
      <c r="BA17" s="642"/>
      <c r="BB17" s="642"/>
      <c r="BC17" s="642"/>
      <c r="BD17" s="642"/>
      <c r="BE17" s="642"/>
      <c r="BF17" s="642"/>
      <c r="BG17" s="522"/>
      <c r="BH17" s="72"/>
      <c r="BI17" s="72"/>
      <c r="BJ17" s="72"/>
      <c r="BK17" s="72"/>
      <c r="BL17" s="72"/>
      <c r="BM17" s="72"/>
      <c r="BN17" s="72"/>
      <c r="BO17" s="72"/>
      <c r="BP17" s="518"/>
      <c r="BQ17" s="518"/>
      <c r="BR17" s="518"/>
      <c r="BS17" s="518"/>
      <c r="BT17" s="518"/>
      <c r="BU17" s="72"/>
      <c r="BV17" s="72"/>
      <c r="BW17" s="72"/>
      <c r="BX17" s="518"/>
      <c r="BY17" s="72"/>
      <c r="BZ17" s="72"/>
      <c r="CA17" s="72"/>
      <c r="CB17" s="518"/>
      <c r="CC17" s="518"/>
      <c r="CD17" s="521"/>
    </row>
    <row r="18" hidden="1">
      <c r="A18" s="590"/>
      <c r="B18" s="514" t="s">
        <v>1175</v>
      </c>
      <c r="C18" s="522"/>
      <c r="D18" s="533" t="s">
        <v>1176</v>
      </c>
      <c r="E18" s="533"/>
      <c r="F18" s="72"/>
      <c r="G18" s="533" t="s">
        <v>1177</v>
      </c>
      <c r="H18" s="533"/>
      <c r="I18" s="72"/>
      <c r="J18" s="224" t="s">
        <v>1178</v>
      </c>
      <c r="K18" s="224"/>
      <c r="L18" s="72"/>
      <c r="M18" s="224" t="s">
        <v>1179</v>
      </c>
      <c r="N18" s="224"/>
      <c r="O18" s="72"/>
      <c r="P18" s="72" t="s">
        <v>1180</v>
      </c>
      <c r="Q18" s="142" t="s">
        <v>1181</v>
      </c>
      <c r="R18" s="486">
        <f t="shared" si="1"/>
        <v>0</v>
      </c>
      <c r="S18" s="224"/>
      <c r="T18" s="517"/>
      <c r="U18" s="518"/>
      <c r="V18" s="518"/>
      <c r="W18" s="518"/>
      <c r="X18" s="518"/>
      <c r="Y18" s="518"/>
      <c r="Z18" s="666"/>
      <c r="AA18" s="666"/>
      <c r="AB18" s="520"/>
      <c r="AC18" s="521"/>
      <c r="AD18" s="518">
        <f t="shared" si="2"/>
        <v>0</v>
      </c>
      <c r="AE18" s="522"/>
      <c r="AF18" s="72"/>
      <c r="AG18" s="72"/>
      <c r="AH18" s="72"/>
      <c r="AI18" s="72"/>
      <c r="AJ18" s="72"/>
      <c r="AK18" s="72"/>
      <c r="AL18" s="72"/>
      <c r="AM18" s="72"/>
      <c r="AN18" s="224"/>
      <c r="AO18" s="522"/>
      <c r="AP18" s="72"/>
      <c r="AQ18" s="72"/>
      <c r="AR18" s="72"/>
      <c r="AS18" s="72"/>
      <c r="AT18" s="72"/>
      <c r="AU18" s="518"/>
      <c r="AV18" s="72"/>
      <c r="AW18" s="72"/>
      <c r="AX18" s="518"/>
      <c r="AY18" s="518"/>
      <c r="AZ18" s="518"/>
      <c r="BA18" s="642"/>
      <c r="BB18" s="642"/>
      <c r="BC18" s="642"/>
      <c r="BD18" s="642"/>
      <c r="BE18" s="642"/>
      <c r="BF18" s="642"/>
      <c r="BG18" s="522"/>
      <c r="BH18" s="72"/>
      <c r="BI18" s="72"/>
      <c r="BJ18" s="72"/>
      <c r="BK18" s="72"/>
      <c r="BL18" s="72"/>
      <c r="BM18" s="72"/>
      <c r="BN18" s="72"/>
      <c r="BO18" s="72"/>
      <c r="BP18" s="518"/>
      <c r="BQ18" s="518"/>
      <c r="BR18" s="518"/>
      <c r="BS18" s="518"/>
      <c r="BT18" s="518"/>
      <c r="BU18" s="72"/>
      <c r="BV18" s="72"/>
      <c r="BW18" s="72"/>
      <c r="BX18" s="518"/>
      <c r="BY18" s="72"/>
      <c r="BZ18" s="72"/>
      <c r="CA18" s="72"/>
      <c r="CB18" s="518"/>
      <c r="CC18" s="518"/>
      <c r="CD18" s="521"/>
    </row>
    <row r="19">
      <c r="A19" s="590"/>
      <c r="B19" s="514" t="s">
        <v>721</v>
      </c>
      <c r="C19" s="522">
        <v>0.9</v>
      </c>
      <c r="D19" s="533" t="s">
        <v>1182</v>
      </c>
      <c r="E19" s="533" t="s">
        <v>1183</v>
      </c>
      <c r="F19" s="72">
        <v>0.772</v>
      </c>
      <c r="G19" s="533" t="s">
        <v>1184</v>
      </c>
      <c r="H19" s="533" t="s">
        <v>1185</v>
      </c>
      <c r="I19" s="72">
        <v>0.75</v>
      </c>
      <c r="J19" s="224" t="s">
        <v>1186</v>
      </c>
      <c r="K19" s="224" t="s">
        <v>1187</v>
      </c>
      <c r="L19" s="72">
        <v>0.649</v>
      </c>
      <c r="M19" s="224" t="s">
        <v>1188</v>
      </c>
      <c r="N19" s="224" t="s">
        <v>1189</v>
      </c>
      <c r="O19" s="72">
        <v>0.899</v>
      </c>
      <c r="P19" s="72" t="s">
        <v>1190</v>
      </c>
      <c r="Q19" s="142" t="s">
        <v>1191</v>
      </c>
      <c r="R19" s="486">
        <f t="shared" si="1"/>
        <v>0.794</v>
      </c>
      <c r="S19" s="224"/>
      <c r="T19" s="517">
        <v>0.528</v>
      </c>
      <c r="U19" s="224" t="s">
        <v>1194</v>
      </c>
      <c r="V19" s="518">
        <v>0.129</v>
      </c>
      <c r="W19" s="224" t="s">
        <v>1195</v>
      </c>
      <c r="X19" s="518">
        <v>0.505</v>
      </c>
      <c r="Y19" s="518" t="s">
        <v>1196</v>
      </c>
      <c r="Z19" s="666"/>
      <c r="AA19" s="666"/>
      <c r="AB19" s="520">
        <v>0.482</v>
      </c>
      <c r="AC19" s="224" t="s">
        <v>1198</v>
      </c>
      <c r="AD19" s="518">
        <f t="shared" si="2"/>
        <v>0.411</v>
      </c>
      <c r="AE19" s="522"/>
      <c r="AF19" s="224" t="s">
        <v>1916</v>
      </c>
      <c r="AG19" s="72"/>
      <c r="AH19" s="224" t="s">
        <v>1200</v>
      </c>
      <c r="AI19" s="72"/>
      <c r="AJ19" s="224" t="s">
        <v>1917</v>
      </c>
      <c r="AK19" s="72"/>
      <c r="AL19" s="72" t="s">
        <v>1202</v>
      </c>
      <c r="AM19" s="72"/>
      <c r="AN19" s="224" t="s">
        <v>1203</v>
      </c>
      <c r="AO19" s="522"/>
      <c r="AP19" s="72" t="s">
        <v>1918</v>
      </c>
      <c r="AQ19" s="72" t="s">
        <v>1205</v>
      </c>
      <c r="AS19" s="72" t="s">
        <v>1206</v>
      </c>
      <c r="AT19" s="72" t="s">
        <v>1919</v>
      </c>
      <c r="AU19" s="518"/>
      <c r="AV19" s="72" t="s">
        <v>1208</v>
      </c>
      <c r="AW19" s="72" t="s">
        <v>1209</v>
      </c>
      <c r="AX19" s="518"/>
      <c r="AY19" s="518" t="s">
        <v>1724</v>
      </c>
      <c r="AZ19" s="518" t="s">
        <v>1725</v>
      </c>
      <c r="BA19" s="642"/>
      <c r="BB19" s="642"/>
      <c r="BC19" s="642"/>
      <c r="BD19" s="642"/>
      <c r="BE19" s="642"/>
      <c r="BF19" s="642"/>
      <c r="BG19" s="522"/>
      <c r="BH19" s="72"/>
      <c r="BI19" s="72"/>
      <c r="BJ19" s="72"/>
      <c r="BK19" s="72"/>
      <c r="BL19" s="72"/>
      <c r="BM19" s="72"/>
      <c r="BN19" s="72"/>
      <c r="BO19" s="72"/>
      <c r="BP19" s="518"/>
      <c r="BQ19" s="518" t="s">
        <v>1212</v>
      </c>
      <c r="BR19" s="518"/>
      <c r="BS19" s="518" t="s">
        <v>1214</v>
      </c>
      <c r="BT19" s="518"/>
      <c r="BU19" s="72" t="s">
        <v>1215</v>
      </c>
      <c r="BV19" s="72"/>
      <c r="BW19" s="531" t="s">
        <v>1217</v>
      </c>
      <c r="BX19" s="518"/>
      <c r="BY19" s="72" t="s">
        <v>1920</v>
      </c>
      <c r="BZ19" s="72"/>
      <c r="CA19" s="72" t="s">
        <v>1220</v>
      </c>
      <c r="CB19" s="518"/>
      <c r="CC19" s="518"/>
      <c r="CD19" s="521"/>
    </row>
    <row r="20">
      <c r="A20" s="590"/>
      <c r="B20" s="514" t="s">
        <v>722</v>
      </c>
      <c r="C20" s="522">
        <v>0.906</v>
      </c>
      <c r="D20" s="533" t="s">
        <v>1921</v>
      </c>
      <c r="E20" s="533" t="s">
        <v>1224</v>
      </c>
      <c r="F20" s="72">
        <v>0.78</v>
      </c>
      <c r="G20" s="533" t="s">
        <v>1225</v>
      </c>
      <c r="H20" s="533" t="s">
        <v>1226</v>
      </c>
      <c r="I20" s="72">
        <v>0.752</v>
      </c>
      <c r="J20" s="224" t="s">
        <v>1227</v>
      </c>
      <c r="K20" s="224" t="s">
        <v>1228</v>
      </c>
      <c r="L20" s="593">
        <v>0.633</v>
      </c>
      <c r="M20" s="224" t="s">
        <v>1229</v>
      </c>
      <c r="N20" s="224" t="s">
        <v>1230</v>
      </c>
      <c r="O20" s="72">
        <v>0.921</v>
      </c>
      <c r="P20" s="72" t="s">
        <v>1922</v>
      </c>
      <c r="Q20" s="142" t="s">
        <v>1232</v>
      </c>
      <c r="R20" s="486">
        <f t="shared" si="1"/>
        <v>0.7984</v>
      </c>
      <c r="S20" s="224"/>
      <c r="T20" s="517">
        <v>0.501</v>
      </c>
      <c r="U20" s="518" t="s">
        <v>1235</v>
      </c>
      <c r="V20" s="518">
        <v>0.12</v>
      </c>
      <c r="W20" s="518" t="s">
        <v>1236</v>
      </c>
      <c r="X20" s="518">
        <v>0.486</v>
      </c>
      <c r="Y20" s="518" t="s">
        <v>1237</v>
      </c>
      <c r="Z20" s="666"/>
      <c r="AA20" s="666"/>
      <c r="AB20" s="520">
        <v>0.459</v>
      </c>
      <c r="AC20" s="521" t="s">
        <v>1239</v>
      </c>
      <c r="AD20" s="518">
        <f t="shared" si="2"/>
        <v>0.3915</v>
      </c>
      <c r="AE20" s="522"/>
      <c r="AF20" s="72" t="s">
        <v>1240</v>
      </c>
      <c r="AG20" s="72"/>
      <c r="AH20" s="72" t="s">
        <v>1241</v>
      </c>
      <c r="AI20" s="72"/>
      <c r="AJ20" s="72" t="s">
        <v>1242</v>
      </c>
      <c r="AK20" s="72"/>
      <c r="AL20" s="72" t="s">
        <v>1243</v>
      </c>
      <c r="AM20" s="72"/>
      <c r="AN20" s="224" t="s">
        <v>1244</v>
      </c>
      <c r="AO20" s="522"/>
      <c r="AP20" s="72" t="s">
        <v>1246</v>
      </c>
      <c r="AQ20" s="72" t="s">
        <v>1923</v>
      </c>
      <c r="AR20" s="72"/>
      <c r="AS20" s="72" t="s">
        <v>1248</v>
      </c>
      <c r="AT20" s="72" t="s">
        <v>1249</v>
      </c>
      <c r="AU20" s="518"/>
      <c r="AV20" s="72" t="s">
        <v>1250</v>
      </c>
      <c r="AW20" s="72" t="s">
        <v>1251</v>
      </c>
      <c r="AX20" s="518"/>
      <c r="AY20" s="518" t="s">
        <v>1731</v>
      </c>
      <c r="AZ20" s="518" t="s">
        <v>1732</v>
      </c>
      <c r="BA20" s="642"/>
      <c r="BB20" s="642"/>
      <c r="BC20" s="642"/>
      <c r="BD20" s="642"/>
      <c r="BE20" s="642"/>
      <c r="BF20" s="642"/>
      <c r="BG20" s="522"/>
      <c r="BH20" s="72"/>
      <c r="BI20" s="72"/>
      <c r="BJ20" s="72"/>
      <c r="BK20" s="72"/>
      <c r="BL20" s="72"/>
      <c r="BM20" s="72"/>
      <c r="BN20" s="72"/>
      <c r="BO20" s="72"/>
      <c r="BP20" s="518"/>
      <c r="BQ20" s="518" t="s">
        <v>1254</v>
      </c>
      <c r="BR20" s="518" t="s">
        <v>1924</v>
      </c>
      <c r="BS20" s="518" t="s">
        <v>1256</v>
      </c>
      <c r="BT20" s="518"/>
      <c r="BU20" s="72" t="s">
        <v>1257</v>
      </c>
      <c r="BV20" s="72"/>
      <c r="BW20" s="72" t="s">
        <v>1259</v>
      </c>
      <c r="BX20" s="518"/>
      <c r="BY20" s="72" t="s">
        <v>1260</v>
      </c>
      <c r="BZ20" s="72" t="s">
        <v>1925</v>
      </c>
      <c r="CA20" s="72" t="s">
        <v>1262</v>
      </c>
      <c r="CB20" s="518"/>
      <c r="CC20" s="518"/>
      <c r="CD20" s="521"/>
    </row>
    <row r="21">
      <c r="A21" s="590"/>
      <c r="B21" s="514" t="s">
        <v>414</v>
      </c>
      <c r="C21" s="522">
        <v>0.708</v>
      </c>
      <c r="D21" s="533" t="s">
        <v>1265</v>
      </c>
      <c r="E21" s="533" t="s">
        <v>1266</v>
      </c>
      <c r="F21" s="72">
        <v>0.235</v>
      </c>
      <c r="G21" s="533" t="s">
        <v>1267</v>
      </c>
      <c r="H21" s="533" t="s">
        <v>1268</v>
      </c>
      <c r="I21" s="72">
        <v>0.732</v>
      </c>
      <c r="J21" s="224" t="s">
        <v>1269</v>
      </c>
      <c r="K21" s="224" t="s">
        <v>1270</v>
      </c>
      <c r="L21" s="72">
        <v>0.566</v>
      </c>
      <c r="M21" s="224" t="s">
        <v>1271</v>
      </c>
      <c r="N21" s="224" t="s">
        <v>1272</v>
      </c>
      <c r="O21" s="72">
        <v>0.799</v>
      </c>
      <c r="P21" s="72" t="s">
        <v>1273</v>
      </c>
      <c r="Q21" s="142" t="s">
        <v>1274</v>
      </c>
      <c r="R21" s="486">
        <f t="shared" si="1"/>
        <v>0.608</v>
      </c>
      <c r="S21" s="224"/>
      <c r="T21" s="517">
        <v>0.343</v>
      </c>
      <c r="U21" s="518" t="s">
        <v>1277</v>
      </c>
      <c r="V21" s="518">
        <v>0.06</v>
      </c>
      <c r="W21" s="518" t="s">
        <v>1278</v>
      </c>
      <c r="X21" s="518">
        <v>0.398</v>
      </c>
      <c r="Y21" s="518" t="s">
        <v>1279</v>
      </c>
      <c r="Z21" s="666"/>
      <c r="AA21" s="666"/>
      <c r="AB21" s="520">
        <v>0.285</v>
      </c>
      <c r="AC21" s="521" t="s">
        <v>1281</v>
      </c>
      <c r="AD21" s="518">
        <f t="shared" si="2"/>
        <v>0.2715</v>
      </c>
      <c r="AE21" s="522"/>
      <c r="AF21" s="72"/>
      <c r="AG21" s="72"/>
      <c r="AH21" s="72"/>
      <c r="AI21" s="72"/>
      <c r="AJ21" s="72"/>
      <c r="AK21" s="72"/>
      <c r="AL21" s="72"/>
      <c r="AM21" s="72"/>
      <c r="AN21" s="224"/>
      <c r="AO21" s="522">
        <v>0.892</v>
      </c>
      <c r="AP21" s="72" t="s">
        <v>1287</v>
      </c>
      <c r="AQ21" s="72" t="s">
        <v>1288</v>
      </c>
      <c r="AR21" s="72">
        <v>0.909</v>
      </c>
      <c r="AS21" s="72" t="s">
        <v>1289</v>
      </c>
      <c r="AT21" s="72" t="s">
        <v>1290</v>
      </c>
      <c r="AU21" s="518"/>
      <c r="AV21" s="72" t="s">
        <v>1291</v>
      </c>
      <c r="AW21" s="72" t="s">
        <v>1292</v>
      </c>
      <c r="AX21" s="518"/>
      <c r="AY21" s="518" t="s">
        <v>1733</v>
      </c>
      <c r="AZ21" s="518" t="s">
        <v>1734</v>
      </c>
      <c r="BA21" s="642"/>
      <c r="BB21" s="642"/>
      <c r="BC21" s="642"/>
      <c r="BD21" s="642"/>
      <c r="BE21" s="642"/>
      <c r="BF21" s="642"/>
      <c r="BG21" s="522"/>
      <c r="BH21" s="72"/>
      <c r="BI21" s="72"/>
      <c r="BJ21" s="72"/>
      <c r="BK21" s="72"/>
      <c r="BL21" s="72"/>
      <c r="BM21" s="72"/>
      <c r="BN21" s="72"/>
      <c r="BO21" s="72"/>
      <c r="BP21" s="518"/>
      <c r="BQ21" s="518"/>
      <c r="BR21" s="518"/>
      <c r="BS21" s="518"/>
      <c r="BT21" s="518"/>
      <c r="BU21" s="72"/>
      <c r="BV21" s="72"/>
      <c r="BW21" s="72"/>
      <c r="BX21" s="518"/>
      <c r="BY21" s="72"/>
      <c r="BZ21" s="72"/>
      <c r="CA21" s="72"/>
      <c r="CB21" s="518"/>
      <c r="CC21" s="518"/>
      <c r="CD21" s="521"/>
    </row>
    <row r="22">
      <c r="A22" s="590"/>
      <c r="B22" s="514" t="s">
        <v>704</v>
      </c>
      <c r="C22" s="522"/>
      <c r="D22" s="533"/>
      <c r="E22" s="533"/>
      <c r="F22" s="72"/>
      <c r="G22" s="533"/>
      <c r="H22" s="533"/>
      <c r="I22" s="72"/>
      <c r="J22" s="224"/>
      <c r="K22" s="224"/>
      <c r="L22" s="72"/>
      <c r="M22" s="224" t="s">
        <v>1926</v>
      </c>
      <c r="N22" s="224" t="s">
        <v>1927</v>
      </c>
      <c r="P22" s="72" t="s">
        <v>1928</v>
      </c>
      <c r="Q22" s="142" t="s">
        <v>1929</v>
      </c>
      <c r="R22" s="486">
        <f t="shared" si="1"/>
        <v>0</v>
      </c>
      <c r="S22" s="224"/>
      <c r="T22" s="517"/>
      <c r="U22" s="518"/>
      <c r="V22" s="518"/>
      <c r="W22" s="518"/>
      <c r="X22" s="518"/>
      <c r="Y22" s="518"/>
      <c r="Z22" s="666"/>
      <c r="AA22" s="666"/>
      <c r="AB22" s="520"/>
      <c r="AC22" s="521"/>
      <c r="AD22" s="518">
        <f t="shared" si="2"/>
        <v>0</v>
      </c>
      <c r="AE22" s="522"/>
      <c r="AF22" s="72"/>
      <c r="AG22" s="72"/>
      <c r="AH22" s="72"/>
      <c r="AI22" s="72"/>
      <c r="AJ22" s="72"/>
      <c r="AK22" s="72"/>
      <c r="AL22" s="72"/>
      <c r="AM22" s="72"/>
      <c r="AN22" s="224"/>
      <c r="AO22" s="522"/>
      <c r="AP22" s="72"/>
      <c r="AQ22" s="72"/>
      <c r="AR22" s="72"/>
      <c r="AS22" s="72"/>
      <c r="AT22" s="72"/>
      <c r="AU22" s="518"/>
      <c r="AV22" s="72"/>
      <c r="AW22" s="72"/>
      <c r="AX22" s="518"/>
      <c r="AY22" s="518" t="s">
        <v>692</v>
      </c>
      <c r="AZ22" s="518"/>
      <c r="BA22" s="642"/>
      <c r="BB22" s="642"/>
      <c r="BC22" s="642"/>
      <c r="BD22" s="642"/>
      <c r="BE22" s="642"/>
      <c r="BF22" s="642"/>
      <c r="BG22" s="522"/>
      <c r="BH22" s="72"/>
      <c r="BI22" s="72"/>
      <c r="BJ22" s="72"/>
      <c r="BK22" s="72"/>
      <c r="BL22" s="72"/>
      <c r="BM22" s="72"/>
      <c r="BN22" s="72"/>
      <c r="BO22" s="72"/>
      <c r="BP22" s="518"/>
      <c r="BQ22" s="518"/>
      <c r="BR22" s="518"/>
      <c r="BS22" s="518"/>
      <c r="BT22" s="518"/>
      <c r="BU22" s="72"/>
      <c r="BV22" s="72"/>
      <c r="BW22" s="72"/>
      <c r="BX22" s="518"/>
      <c r="BY22" s="72"/>
      <c r="BZ22" s="72"/>
      <c r="CA22" s="72"/>
      <c r="CB22" s="518"/>
      <c r="CC22" s="518"/>
      <c r="CD22" s="521"/>
    </row>
    <row r="23">
      <c r="A23" s="590"/>
      <c r="B23" s="514" t="s">
        <v>713</v>
      </c>
      <c r="C23" s="522"/>
      <c r="D23" s="533" t="s">
        <v>1351</v>
      </c>
      <c r="E23" s="533" t="s">
        <v>1352</v>
      </c>
      <c r="F23" s="72"/>
      <c r="G23" s="533" t="s">
        <v>1930</v>
      </c>
      <c r="H23" s="533" t="s">
        <v>1354</v>
      </c>
      <c r="I23" s="72">
        <v>0.733</v>
      </c>
      <c r="J23" s="224" t="s">
        <v>1355</v>
      </c>
      <c r="K23" s="224" t="s">
        <v>1356</v>
      </c>
      <c r="L23" s="72">
        <v>0.601</v>
      </c>
      <c r="M23" s="224" t="s">
        <v>1357</v>
      </c>
      <c r="N23" s="224" t="s">
        <v>1358</v>
      </c>
      <c r="O23" s="72">
        <v>0.842</v>
      </c>
      <c r="P23" s="72" t="s">
        <v>1359</v>
      </c>
      <c r="Q23" s="142" t="s">
        <v>1931</v>
      </c>
      <c r="R23" s="486">
        <f t="shared" si="1"/>
        <v>0.4352</v>
      </c>
      <c r="S23" s="224"/>
      <c r="T23" s="517"/>
      <c r="U23" s="518"/>
      <c r="V23" s="518"/>
      <c r="W23" s="518"/>
      <c r="X23" s="518"/>
      <c r="Y23" s="518"/>
      <c r="Z23" s="666"/>
      <c r="AA23" s="666"/>
      <c r="AB23" s="520"/>
      <c r="AC23" s="521"/>
      <c r="AD23" s="518">
        <f t="shared" si="2"/>
        <v>0</v>
      </c>
      <c r="AE23" s="522"/>
      <c r="AF23" s="72"/>
      <c r="AG23" s="72"/>
      <c r="AH23" s="72"/>
      <c r="AI23" s="72"/>
      <c r="AJ23" s="72"/>
      <c r="AK23" s="72"/>
      <c r="AL23" s="72"/>
      <c r="AM23" s="72"/>
      <c r="AN23" s="224"/>
      <c r="AO23" s="522"/>
      <c r="AP23" s="72"/>
      <c r="AQ23" s="72"/>
      <c r="AR23" s="72"/>
      <c r="AS23" s="72"/>
      <c r="AT23" s="72"/>
      <c r="AU23" s="518"/>
      <c r="AV23" s="72"/>
      <c r="AW23" s="72"/>
      <c r="AX23" s="518"/>
      <c r="AY23" s="518"/>
      <c r="AZ23" s="518"/>
      <c r="BA23" s="642"/>
      <c r="BB23" s="642"/>
      <c r="BC23" s="642"/>
      <c r="BD23" s="642"/>
      <c r="BE23" s="642"/>
      <c r="BF23" s="642"/>
      <c r="BG23" s="522"/>
      <c r="BH23" s="72"/>
      <c r="BI23" s="72"/>
      <c r="BJ23" s="72"/>
      <c r="BK23" s="72"/>
      <c r="BL23" s="72"/>
      <c r="BM23" s="72"/>
      <c r="BN23" s="72"/>
      <c r="BO23" s="72"/>
      <c r="BP23" s="518"/>
      <c r="BQ23" s="518"/>
      <c r="BR23" s="518"/>
      <c r="BS23" s="518"/>
      <c r="BT23" s="518"/>
      <c r="BU23" s="72"/>
      <c r="BV23" s="72"/>
      <c r="BW23" s="72"/>
      <c r="BX23" s="518"/>
      <c r="BY23" s="72"/>
      <c r="BZ23" s="72"/>
      <c r="CA23" s="72"/>
      <c r="CB23" s="518"/>
      <c r="CC23" s="518"/>
      <c r="CD23" s="521"/>
    </row>
    <row r="24" hidden="1">
      <c r="A24" s="590"/>
      <c r="B24" s="514" t="s">
        <v>720</v>
      </c>
      <c r="C24" s="522"/>
      <c r="D24" s="533"/>
      <c r="E24" s="533"/>
      <c r="F24" s="72"/>
      <c r="G24" s="533"/>
      <c r="H24" s="533"/>
      <c r="I24" s="72"/>
      <c r="L24" s="72"/>
      <c r="M24" s="224"/>
      <c r="N24" s="224"/>
      <c r="O24" s="72"/>
      <c r="P24" s="72"/>
      <c r="Q24" s="142"/>
      <c r="R24" s="486">
        <f t="shared" si="1"/>
        <v>0</v>
      </c>
      <c r="S24" s="224"/>
      <c r="T24" s="517"/>
      <c r="U24" s="518"/>
      <c r="V24" s="518"/>
      <c r="W24" s="518"/>
      <c r="X24" s="518"/>
      <c r="Y24" s="518"/>
      <c r="Z24" s="666"/>
      <c r="AA24" s="666"/>
      <c r="AB24" s="520"/>
      <c r="AC24" s="521"/>
      <c r="AD24" s="518">
        <f t="shared" si="2"/>
        <v>0</v>
      </c>
      <c r="AE24" s="522"/>
      <c r="AF24" s="72"/>
      <c r="AG24" s="72"/>
      <c r="AH24" s="72"/>
      <c r="AI24" s="72"/>
      <c r="AJ24" s="72"/>
      <c r="AK24" s="72"/>
      <c r="AL24" s="72"/>
      <c r="AM24" s="72"/>
      <c r="AN24" s="224"/>
      <c r="AO24" s="522"/>
      <c r="AP24" s="72"/>
      <c r="AQ24" s="72"/>
      <c r="AR24" s="72"/>
      <c r="AS24" s="72"/>
      <c r="AT24" s="72"/>
      <c r="AU24" s="518"/>
      <c r="AV24" s="72"/>
      <c r="AW24" s="72"/>
      <c r="AX24" s="518"/>
      <c r="AY24" s="518"/>
      <c r="AZ24" s="518"/>
      <c r="BA24" s="642"/>
      <c r="BB24" s="642"/>
      <c r="BC24" s="642"/>
      <c r="BD24" s="642"/>
      <c r="BE24" s="642"/>
      <c r="BF24" s="642"/>
      <c r="BG24" s="522"/>
      <c r="BH24" s="72"/>
      <c r="BI24" s="72"/>
      <c r="BJ24" s="72"/>
      <c r="BK24" s="72"/>
      <c r="BL24" s="72"/>
      <c r="BM24" s="72"/>
      <c r="BN24" s="72"/>
      <c r="BO24" s="72"/>
      <c r="BP24" s="518"/>
      <c r="BQ24" s="518"/>
      <c r="BR24" s="518"/>
      <c r="BS24" s="518"/>
      <c r="BT24" s="518"/>
      <c r="BU24" s="72"/>
      <c r="BV24" s="72"/>
      <c r="BW24" s="72"/>
      <c r="BX24" s="518"/>
      <c r="BY24" s="72"/>
      <c r="BZ24" s="72"/>
      <c r="CA24" s="72"/>
      <c r="CB24" s="518"/>
      <c r="CC24" s="518"/>
      <c r="CD24" s="521"/>
    </row>
    <row r="25" hidden="1">
      <c r="A25" s="590"/>
      <c r="B25" s="514" t="s">
        <v>1735</v>
      </c>
      <c r="C25" s="522"/>
      <c r="D25" s="533" t="s">
        <v>1736</v>
      </c>
      <c r="E25" s="533"/>
      <c r="F25" s="72"/>
      <c r="G25" s="533" t="s">
        <v>1184</v>
      </c>
      <c r="H25" s="533"/>
      <c r="I25" s="72"/>
      <c r="J25" s="224" t="s">
        <v>1737</v>
      </c>
      <c r="K25" s="224"/>
      <c r="L25" s="72"/>
      <c r="M25" s="224" t="s">
        <v>1738</v>
      </c>
      <c r="N25" s="224"/>
      <c r="O25" s="72"/>
      <c r="P25" s="72" t="s">
        <v>1739</v>
      </c>
      <c r="Q25" s="142"/>
      <c r="R25" s="486">
        <f t="shared" si="1"/>
        <v>0</v>
      </c>
      <c r="S25" s="224"/>
      <c r="T25" s="517"/>
      <c r="U25" s="518"/>
      <c r="V25" s="518"/>
      <c r="W25" s="518" t="s">
        <v>1740</v>
      </c>
      <c r="X25" s="518"/>
      <c r="Y25" s="518"/>
      <c r="Z25" s="666"/>
      <c r="AA25" s="666"/>
      <c r="AB25" s="520"/>
      <c r="AC25" s="644" t="s">
        <v>1741</v>
      </c>
      <c r="AD25" s="518">
        <f t="shared" si="2"/>
        <v>0</v>
      </c>
      <c r="AE25" s="522"/>
      <c r="AF25" s="72" t="s">
        <v>1742</v>
      </c>
      <c r="AG25" s="72"/>
      <c r="AH25" s="72" t="s">
        <v>1743</v>
      </c>
      <c r="AI25" s="72"/>
      <c r="AJ25" s="72" t="s">
        <v>1932</v>
      </c>
      <c r="AK25" s="72"/>
      <c r="AL25" s="72" t="s">
        <v>1745</v>
      </c>
      <c r="AM25" s="72"/>
      <c r="AN25" s="224"/>
      <c r="AO25" s="522"/>
      <c r="AP25" s="72"/>
      <c r="AQ25" s="72"/>
      <c r="AR25" s="72"/>
      <c r="AS25" s="72"/>
      <c r="AT25" s="72"/>
      <c r="AU25" s="518"/>
      <c r="AV25" s="72"/>
      <c r="AW25" s="72"/>
      <c r="AX25" s="518"/>
      <c r="AY25" s="518"/>
      <c r="AZ25" s="518"/>
      <c r="BA25" s="642"/>
      <c r="BB25" s="642"/>
      <c r="BC25" s="642"/>
      <c r="BD25" s="642"/>
      <c r="BE25" s="642"/>
      <c r="BF25" s="642"/>
      <c r="BG25" s="522"/>
      <c r="BH25" s="72"/>
      <c r="BI25" s="72"/>
      <c r="BJ25" s="72"/>
      <c r="BK25" s="72"/>
      <c r="BL25" s="72"/>
      <c r="BM25" s="72"/>
      <c r="BN25" s="72"/>
      <c r="BO25" s="72"/>
      <c r="BP25" s="518"/>
      <c r="BQ25" s="518"/>
      <c r="BR25" s="518"/>
      <c r="BS25" s="518"/>
      <c r="BT25" s="518"/>
      <c r="BU25" s="72"/>
      <c r="BV25" s="72"/>
      <c r="BW25" s="72"/>
      <c r="BX25" s="518"/>
      <c r="BY25" s="72"/>
      <c r="BZ25" s="72"/>
      <c r="CA25" s="72"/>
      <c r="CB25" s="518"/>
      <c r="CC25" s="518"/>
      <c r="CD25" s="521"/>
    </row>
    <row r="26" hidden="1">
      <c r="A26" s="590"/>
      <c r="B26" s="514" t="s">
        <v>1746</v>
      </c>
      <c r="C26" s="522"/>
      <c r="D26" s="533" t="s">
        <v>1747</v>
      </c>
      <c r="E26" s="533"/>
      <c r="F26" s="72"/>
      <c r="G26" s="533" t="s">
        <v>1748</v>
      </c>
      <c r="H26" s="533"/>
      <c r="I26" s="72"/>
      <c r="J26" s="224" t="s">
        <v>1749</v>
      </c>
      <c r="K26" s="224"/>
      <c r="L26" s="72"/>
      <c r="M26" s="224" t="s">
        <v>1750</v>
      </c>
      <c r="N26" s="224"/>
      <c r="O26" s="72"/>
      <c r="P26" s="224" t="s">
        <v>1751</v>
      </c>
      <c r="Q26" s="142"/>
      <c r="R26" s="486">
        <f t="shared" si="1"/>
        <v>0</v>
      </c>
      <c r="S26" s="224"/>
      <c r="T26" s="517"/>
      <c r="U26" s="518"/>
      <c r="V26" s="518"/>
      <c r="W26" s="518"/>
      <c r="X26" s="518"/>
      <c r="Y26" s="518"/>
      <c r="Z26" s="666"/>
      <c r="AA26" s="666"/>
      <c r="AB26" s="520"/>
      <c r="AC26" s="521"/>
      <c r="AD26" s="518">
        <f t="shared" si="2"/>
        <v>0</v>
      </c>
      <c r="AE26" s="522"/>
      <c r="AF26" s="72"/>
      <c r="AG26" s="72"/>
      <c r="AH26" s="72"/>
      <c r="AI26" s="72"/>
      <c r="AJ26" s="72"/>
      <c r="AK26" s="72"/>
      <c r="AL26" s="72"/>
      <c r="AM26" s="72"/>
      <c r="AN26" s="224"/>
      <c r="AO26" s="522"/>
      <c r="AP26" s="72"/>
      <c r="AQ26" s="72"/>
      <c r="AR26" s="72"/>
      <c r="AS26" s="72"/>
      <c r="AT26" s="72"/>
      <c r="AU26" s="518"/>
      <c r="AV26" s="72"/>
      <c r="AW26" s="72"/>
      <c r="AX26" s="518"/>
      <c r="AY26" s="518"/>
      <c r="AZ26" s="518"/>
      <c r="BA26" s="642"/>
      <c r="BB26" s="642"/>
      <c r="BC26" s="642"/>
      <c r="BD26" s="642"/>
      <c r="BE26" s="642"/>
      <c r="BF26" s="642"/>
      <c r="BG26" s="522"/>
      <c r="BH26" s="72"/>
      <c r="BI26" s="72"/>
      <c r="BJ26" s="72"/>
      <c r="BK26" s="72"/>
      <c r="BL26" s="72"/>
      <c r="BM26" s="72"/>
      <c r="BN26" s="72"/>
      <c r="BO26" s="72"/>
      <c r="BP26" s="518"/>
      <c r="BQ26" s="518"/>
      <c r="BR26" s="518"/>
      <c r="BS26" s="518"/>
      <c r="BT26" s="518"/>
      <c r="BU26" s="72"/>
      <c r="BV26" s="72"/>
      <c r="BW26" s="72"/>
      <c r="BX26" s="518"/>
      <c r="BY26" s="72"/>
      <c r="BZ26" s="72"/>
      <c r="CA26" s="72"/>
      <c r="CB26" s="518"/>
      <c r="CC26" s="518"/>
      <c r="CD26" s="521"/>
    </row>
    <row r="27" hidden="1">
      <c r="A27" s="590"/>
      <c r="B27" s="514" t="s">
        <v>1752</v>
      </c>
      <c r="C27" s="522"/>
      <c r="D27" s="533" t="s">
        <v>1753</v>
      </c>
      <c r="E27" s="533"/>
      <c r="F27" s="72"/>
      <c r="G27" s="533" t="s">
        <v>1754</v>
      </c>
      <c r="H27" s="533"/>
      <c r="I27" s="72"/>
      <c r="J27" s="224" t="s">
        <v>1755</v>
      </c>
      <c r="K27" s="224"/>
      <c r="L27" s="72"/>
      <c r="M27" s="224" t="s">
        <v>1756</v>
      </c>
      <c r="N27" s="224"/>
      <c r="O27" s="72"/>
      <c r="P27" s="224" t="s">
        <v>1757</v>
      </c>
      <c r="Q27" s="142"/>
      <c r="R27" s="486">
        <f t="shared" si="1"/>
        <v>0</v>
      </c>
      <c r="S27" s="224"/>
      <c r="T27" s="517"/>
      <c r="U27" s="518"/>
      <c r="V27" s="518"/>
      <c r="W27" s="518"/>
      <c r="X27" s="518"/>
      <c r="Y27" s="518"/>
      <c r="Z27" s="666"/>
      <c r="AA27" s="666"/>
      <c r="AB27" s="520"/>
      <c r="AC27" s="521"/>
      <c r="AD27" s="518">
        <f t="shared" si="2"/>
        <v>0</v>
      </c>
      <c r="AE27" s="522"/>
      <c r="AF27" s="72"/>
      <c r="AG27" s="72"/>
      <c r="AH27" s="72"/>
      <c r="AI27" s="72"/>
      <c r="AJ27" s="72"/>
      <c r="AK27" s="72"/>
      <c r="AL27" s="72"/>
      <c r="AM27" s="72"/>
      <c r="AN27" s="224"/>
      <c r="AO27" s="522"/>
      <c r="AP27" s="72"/>
      <c r="AQ27" s="72"/>
      <c r="AR27" s="72"/>
      <c r="AS27" s="72"/>
      <c r="AT27" s="72"/>
      <c r="AU27" s="518"/>
      <c r="AV27" s="72"/>
      <c r="AW27" s="72"/>
      <c r="AX27" s="518"/>
      <c r="AY27" s="518"/>
      <c r="AZ27" s="518"/>
      <c r="BA27" s="642"/>
      <c r="BB27" s="642"/>
      <c r="BC27" s="642"/>
      <c r="BD27" s="642"/>
      <c r="BE27" s="642"/>
      <c r="BF27" s="642"/>
      <c r="BG27" s="522"/>
      <c r="BH27" s="72"/>
      <c r="BI27" s="72"/>
      <c r="BJ27" s="72"/>
      <c r="BK27" s="72"/>
      <c r="BL27" s="72"/>
      <c r="BM27" s="72"/>
      <c r="BN27" s="72"/>
      <c r="BO27" s="72"/>
      <c r="BP27" s="518"/>
      <c r="BQ27" s="518"/>
      <c r="BR27" s="518"/>
      <c r="BS27" s="518"/>
      <c r="BT27" s="518"/>
      <c r="BU27" s="72"/>
      <c r="BV27" s="72"/>
      <c r="BW27" s="72"/>
      <c r="BX27" s="518"/>
      <c r="BY27" s="72"/>
      <c r="BZ27" s="72"/>
      <c r="CA27" s="72"/>
      <c r="CB27" s="518"/>
      <c r="CC27" s="518"/>
      <c r="CD27" s="521"/>
    </row>
    <row r="28" hidden="1">
      <c r="A28" s="590"/>
      <c r="B28" s="514" t="s">
        <v>1758</v>
      </c>
      <c r="C28" s="522">
        <v>0.802</v>
      </c>
      <c r="D28" s="224" t="s">
        <v>1759</v>
      </c>
      <c r="E28" s="224"/>
      <c r="F28" s="72" t="s">
        <v>1142</v>
      </c>
      <c r="G28" s="224" t="s">
        <v>1760</v>
      </c>
      <c r="H28" s="224"/>
      <c r="I28" s="72">
        <v>0.648</v>
      </c>
      <c r="J28" s="224" t="s">
        <v>1761</v>
      </c>
      <c r="K28" s="224"/>
      <c r="L28" s="72">
        <v>0.443</v>
      </c>
      <c r="M28" s="224" t="s">
        <v>1762</v>
      </c>
      <c r="N28" s="224"/>
      <c r="O28" s="72">
        <v>0.827</v>
      </c>
      <c r="P28" s="72" t="s">
        <v>1763</v>
      </c>
      <c r="Q28" s="142"/>
      <c r="R28" s="486" t="str">
        <f t="shared" si="1"/>
        <v>#VALUE!</v>
      </c>
      <c r="S28" s="224"/>
      <c r="T28" s="517"/>
      <c r="U28" s="518"/>
      <c r="V28" s="518"/>
      <c r="W28" s="518" t="s">
        <v>1764</v>
      </c>
      <c r="X28" s="518"/>
      <c r="Y28" s="518"/>
      <c r="Z28" s="666"/>
      <c r="AA28" s="666"/>
      <c r="AB28" s="520"/>
      <c r="AC28" s="521"/>
      <c r="AD28" s="518">
        <f t="shared" si="2"/>
        <v>0</v>
      </c>
      <c r="AE28" s="522"/>
      <c r="AF28" s="72"/>
      <c r="AG28" s="72"/>
      <c r="AH28" s="72"/>
      <c r="AI28" s="72"/>
      <c r="AJ28" s="72"/>
      <c r="AK28" s="72"/>
      <c r="AL28" s="72"/>
      <c r="AM28" s="72"/>
      <c r="AO28" s="522"/>
      <c r="AP28" s="72"/>
      <c r="AQ28" s="72"/>
      <c r="AR28" s="72"/>
      <c r="AS28" s="72"/>
      <c r="AT28" s="72"/>
      <c r="AU28" s="518"/>
      <c r="AV28" s="72"/>
      <c r="AW28" s="72"/>
      <c r="AX28" s="518"/>
      <c r="AY28" s="518"/>
      <c r="AZ28" s="518"/>
      <c r="BA28" s="642"/>
      <c r="BB28" s="642"/>
      <c r="BC28" s="642"/>
      <c r="BD28" s="642"/>
      <c r="BE28" s="642"/>
      <c r="BF28" s="642"/>
      <c r="BG28" s="522"/>
      <c r="BH28" s="72"/>
      <c r="BI28" s="72"/>
      <c r="BJ28" s="72"/>
      <c r="BK28" s="72"/>
      <c r="BL28" s="72"/>
      <c r="BM28" s="72"/>
      <c r="BN28" s="72"/>
      <c r="BO28" s="72"/>
      <c r="BP28" s="518"/>
      <c r="BQ28" s="518"/>
      <c r="BR28" s="518"/>
      <c r="BS28" s="518"/>
      <c r="BT28" s="518"/>
      <c r="BU28" s="72"/>
      <c r="BV28" s="72"/>
      <c r="BW28" s="72"/>
      <c r="BX28" s="518"/>
      <c r="BY28" s="72"/>
      <c r="BZ28" s="72"/>
      <c r="CA28" s="72"/>
      <c r="CB28" s="518"/>
      <c r="CC28" s="518"/>
      <c r="CD28" s="521"/>
    </row>
    <row r="29" hidden="1">
      <c r="A29" s="590"/>
      <c r="B29" s="514" t="s">
        <v>1765</v>
      </c>
      <c r="C29" s="522">
        <v>0.829</v>
      </c>
      <c r="D29" s="224" t="s">
        <v>1766</v>
      </c>
      <c r="E29" s="533" t="s">
        <v>1767</v>
      </c>
      <c r="F29" s="72">
        <v>0.708</v>
      </c>
      <c r="G29" s="224" t="s">
        <v>1768</v>
      </c>
      <c r="H29" s="533" t="s">
        <v>1769</v>
      </c>
      <c r="I29" s="72">
        <v>0.693</v>
      </c>
      <c r="J29" s="224" t="s">
        <v>1770</v>
      </c>
      <c r="K29" s="224" t="s">
        <v>1771</v>
      </c>
      <c r="L29" s="72">
        <v>0.431</v>
      </c>
      <c r="M29" s="224" t="s">
        <v>1772</v>
      </c>
      <c r="N29" s="224"/>
      <c r="O29" s="72">
        <v>0.827</v>
      </c>
      <c r="P29" s="72" t="s">
        <v>1773</v>
      </c>
      <c r="Q29" s="142" t="s">
        <v>1774</v>
      </c>
      <c r="R29" s="486">
        <f t="shared" si="1"/>
        <v>0.6976</v>
      </c>
      <c r="S29" s="224"/>
      <c r="T29" s="517"/>
      <c r="U29" s="518" t="s">
        <v>1775</v>
      </c>
      <c r="V29" s="518"/>
      <c r="W29" s="518"/>
      <c r="X29" s="518"/>
      <c r="Y29" s="518"/>
      <c r="Z29" s="666"/>
      <c r="AA29" s="666"/>
      <c r="AB29" s="520"/>
      <c r="AC29" s="521" t="s">
        <v>1776</v>
      </c>
      <c r="AD29" s="518">
        <f t="shared" si="2"/>
        <v>0</v>
      </c>
      <c r="AE29" s="522"/>
      <c r="AF29" s="72" t="s">
        <v>1777</v>
      </c>
      <c r="AG29" s="72"/>
      <c r="AH29" s="72" t="s">
        <v>1778</v>
      </c>
      <c r="AI29" s="72"/>
      <c r="AJ29" s="72" t="s">
        <v>1779</v>
      </c>
      <c r="AK29" s="72"/>
      <c r="AL29" s="72" t="s">
        <v>1780</v>
      </c>
      <c r="AM29" s="72"/>
      <c r="AN29" s="142" t="s">
        <v>1781</v>
      </c>
      <c r="AO29" s="522" t="s">
        <v>1782</v>
      </c>
      <c r="AP29" s="72" t="s">
        <v>1783</v>
      </c>
      <c r="AQ29" s="72" t="s">
        <v>1784</v>
      </c>
      <c r="AR29" s="72" t="s">
        <v>1785</v>
      </c>
      <c r="AS29" s="72" t="s">
        <v>1786</v>
      </c>
      <c r="AT29" s="531" t="s">
        <v>1784</v>
      </c>
      <c r="AU29" s="518">
        <v>0.87</v>
      </c>
      <c r="AV29" s="72" t="s">
        <v>1787</v>
      </c>
      <c r="AW29" s="72" t="s">
        <v>1788</v>
      </c>
      <c r="AX29" s="518"/>
      <c r="AY29" s="518"/>
      <c r="AZ29" s="518"/>
      <c r="BA29" s="642"/>
      <c r="BB29" s="642"/>
      <c r="BC29" s="642"/>
      <c r="BD29" s="642"/>
      <c r="BE29" s="642"/>
      <c r="BF29" s="642"/>
      <c r="BG29" s="522"/>
      <c r="BH29" s="72"/>
      <c r="BI29" s="72"/>
      <c r="BJ29" s="72"/>
      <c r="BK29" s="72"/>
      <c r="BL29" s="72"/>
      <c r="BM29" s="72"/>
      <c r="BN29" s="72"/>
      <c r="BO29" s="72"/>
      <c r="BP29" s="518"/>
      <c r="BQ29" s="518"/>
      <c r="BR29" s="518"/>
      <c r="BS29" s="518"/>
      <c r="BT29" s="518"/>
      <c r="BU29" s="72" t="s">
        <v>1789</v>
      </c>
      <c r="BV29" s="72"/>
      <c r="BW29" s="72" t="s">
        <v>1790</v>
      </c>
      <c r="BX29" s="518"/>
      <c r="BY29" s="72" t="s">
        <v>1791</v>
      </c>
      <c r="BZ29" s="72"/>
      <c r="CA29" s="72"/>
      <c r="CB29" s="518"/>
      <c r="CC29" s="518"/>
      <c r="CD29" s="521"/>
    </row>
    <row r="30" hidden="1">
      <c r="A30" s="590"/>
      <c r="B30" s="514" t="s">
        <v>1792</v>
      </c>
      <c r="C30" s="522"/>
      <c r="D30" s="224"/>
      <c r="E30" s="533"/>
      <c r="F30" s="72"/>
      <c r="G30" s="224"/>
      <c r="H30" s="533"/>
      <c r="I30" s="72"/>
      <c r="J30" s="224" t="s">
        <v>1793</v>
      </c>
      <c r="K30" s="224"/>
      <c r="L30" s="72"/>
      <c r="M30" s="224"/>
      <c r="N30" s="224"/>
      <c r="O30" s="72"/>
      <c r="P30" s="72"/>
      <c r="Q30" s="142"/>
      <c r="R30" s="486">
        <f t="shared" si="1"/>
        <v>0</v>
      </c>
      <c r="S30" s="224"/>
      <c r="T30" s="517"/>
      <c r="U30" s="518"/>
      <c r="V30" s="518"/>
      <c r="W30" s="518"/>
      <c r="X30" s="518"/>
      <c r="Y30" s="518"/>
      <c r="Z30" s="666"/>
      <c r="AA30" s="666"/>
      <c r="AB30" s="520"/>
      <c r="AC30" s="521"/>
      <c r="AD30" s="518">
        <f t="shared" si="2"/>
        <v>0</v>
      </c>
      <c r="AE30" s="522"/>
      <c r="AF30" s="72"/>
      <c r="AG30" s="72"/>
      <c r="AH30" s="72"/>
      <c r="AI30" s="72"/>
      <c r="AJ30" s="72"/>
      <c r="AK30" s="72"/>
      <c r="AL30" s="72"/>
      <c r="AM30" s="72"/>
      <c r="AN30" s="142"/>
      <c r="AO30" s="522"/>
      <c r="AP30" s="72"/>
      <c r="AQ30" s="72"/>
      <c r="AR30" s="72"/>
      <c r="AS30" s="72"/>
      <c r="AT30" s="531"/>
      <c r="AU30" s="518"/>
      <c r="AV30" s="72"/>
      <c r="AW30" s="72"/>
      <c r="AX30" s="518"/>
      <c r="AY30" s="518"/>
      <c r="AZ30" s="518"/>
      <c r="BA30" s="642"/>
      <c r="BB30" s="642"/>
      <c r="BC30" s="642"/>
      <c r="BD30" s="642"/>
      <c r="BE30" s="642"/>
      <c r="BF30" s="642"/>
      <c r="BG30" s="522"/>
      <c r="BH30" s="72"/>
      <c r="BI30" s="72"/>
      <c r="BJ30" s="72"/>
      <c r="BK30" s="72"/>
      <c r="BL30" s="72"/>
      <c r="BM30" s="72"/>
      <c r="BN30" s="72"/>
      <c r="BO30" s="72"/>
      <c r="BP30" s="518"/>
      <c r="BQ30" s="518"/>
      <c r="BR30" s="518"/>
      <c r="BS30" s="518"/>
      <c r="BT30" s="518"/>
      <c r="BU30" s="72"/>
      <c r="BV30" s="72"/>
      <c r="BW30" s="72"/>
      <c r="BX30" s="518"/>
      <c r="BY30" s="72"/>
      <c r="BZ30" s="72"/>
      <c r="CA30" s="72"/>
      <c r="CB30" s="518"/>
      <c r="CC30" s="518"/>
      <c r="CD30" s="521"/>
    </row>
    <row r="31" hidden="1">
      <c r="A31" s="590"/>
      <c r="B31" s="660" t="s">
        <v>1794</v>
      </c>
      <c r="C31" s="522">
        <v>0.92</v>
      </c>
      <c r="D31" s="484" t="s">
        <v>1795</v>
      </c>
      <c r="E31" s="224" t="s">
        <v>1796</v>
      </c>
      <c r="F31" s="531">
        <v>0.81</v>
      </c>
      <c r="G31" s="484" t="s">
        <v>1797</v>
      </c>
      <c r="H31" s="224" t="s">
        <v>1798</v>
      </c>
      <c r="I31" s="72">
        <v>0.736</v>
      </c>
      <c r="J31" s="224" t="s">
        <v>1799</v>
      </c>
      <c r="K31" s="224" t="s">
        <v>1800</v>
      </c>
      <c r="L31" s="72">
        <v>0.628</v>
      </c>
      <c r="M31" s="224" t="s">
        <v>1801</v>
      </c>
      <c r="N31" s="224" t="s">
        <v>1802</v>
      </c>
      <c r="O31" s="72">
        <v>0.842</v>
      </c>
      <c r="P31" s="72" t="s">
        <v>1803</v>
      </c>
      <c r="Q31" s="146" t="s">
        <v>1804</v>
      </c>
      <c r="R31" s="486">
        <f t="shared" si="1"/>
        <v>0.7872</v>
      </c>
      <c r="S31" s="72"/>
      <c r="T31" s="517">
        <v>0.518</v>
      </c>
      <c r="U31" s="518" t="s">
        <v>1933</v>
      </c>
      <c r="V31" s="518">
        <v>0.004</v>
      </c>
      <c r="W31" s="518" t="s">
        <v>1934</v>
      </c>
      <c r="X31" s="518"/>
      <c r="Y31" s="518"/>
      <c r="Z31" s="666"/>
      <c r="AA31" s="666"/>
      <c r="AB31" s="520"/>
      <c r="AC31" s="521" t="s">
        <v>1935</v>
      </c>
      <c r="AD31" s="518">
        <f t="shared" si="2"/>
        <v>0.1305</v>
      </c>
      <c r="AE31" s="522"/>
      <c r="AF31" s="72" t="s">
        <v>1808</v>
      </c>
      <c r="AG31" s="72"/>
      <c r="AH31" s="72"/>
      <c r="AI31" s="72"/>
      <c r="AJ31" s="72"/>
      <c r="AK31" s="72"/>
      <c r="AL31" s="72"/>
      <c r="AM31" s="72"/>
      <c r="AN31" s="146"/>
      <c r="AO31" s="522" t="s">
        <v>1809</v>
      </c>
      <c r="AP31" s="72" t="s">
        <v>1810</v>
      </c>
      <c r="AQ31" s="72" t="s">
        <v>1811</v>
      </c>
      <c r="AR31" s="224" t="s">
        <v>1812</v>
      </c>
      <c r="AS31" s="224" t="s">
        <v>1813</v>
      </c>
      <c r="AT31" s="224" t="s">
        <v>1814</v>
      </c>
      <c r="AU31" s="518"/>
      <c r="AV31" s="72" t="s">
        <v>1815</v>
      </c>
      <c r="AW31" s="72" t="s">
        <v>1816</v>
      </c>
      <c r="AX31" s="518"/>
      <c r="AY31" s="518"/>
      <c r="AZ31" s="518"/>
      <c r="BA31" s="642"/>
      <c r="BB31" s="642"/>
      <c r="BC31" s="642"/>
      <c r="BD31" s="642"/>
      <c r="BE31" s="642"/>
      <c r="BF31" s="642"/>
      <c r="BG31" s="522"/>
      <c r="BH31" s="72"/>
      <c r="BI31" s="72"/>
      <c r="BJ31" s="72"/>
      <c r="BK31" s="72"/>
      <c r="BL31" s="72"/>
      <c r="BM31" s="72"/>
      <c r="BN31" s="72"/>
      <c r="BO31" s="72"/>
      <c r="BP31" s="518"/>
      <c r="BQ31" s="518"/>
      <c r="BR31" s="518"/>
      <c r="BS31" s="518"/>
      <c r="BT31" s="518"/>
      <c r="BU31" s="72" t="s">
        <v>1817</v>
      </c>
      <c r="BV31" s="72"/>
      <c r="BW31" s="72"/>
      <c r="BX31" s="518"/>
      <c r="BY31" s="72" t="s">
        <v>1818</v>
      </c>
      <c r="BZ31" s="72"/>
      <c r="CA31" s="72" t="s">
        <v>1819</v>
      </c>
      <c r="CB31" s="518"/>
      <c r="CC31" s="518"/>
      <c r="CD31" s="521"/>
    </row>
    <row r="32" hidden="1">
      <c r="A32" s="590"/>
      <c r="B32" s="660" t="s">
        <v>1820</v>
      </c>
      <c r="C32" s="522"/>
      <c r="D32" s="484"/>
      <c r="E32" s="224"/>
      <c r="F32" s="531"/>
      <c r="G32" s="484"/>
      <c r="H32" s="224"/>
      <c r="I32" s="72"/>
      <c r="J32" s="224" t="s">
        <v>1821</v>
      </c>
      <c r="K32" s="224" t="s">
        <v>1822</v>
      </c>
      <c r="L32" s="72"/>
      <c r="M32" s="224" t="s">
        <v>1823</v>
      </c>
      <c r="N32" s="224" t="s">
        <v>1824</v>
      </c>
      <c r="O32" s="72"/>
      <c r="P32" s="72" t="s">
        <v>1825</v>
      </c>
      <c r="Q32" s="146" t="s">
        <v>1826</v>
      </c>
      <c r="R32" s="486">
        <f t="shared" si="1"/>
        <v>0</v>
      </c>
      <c r="S32" s="72"/>
      <c r="T32" s="517"/>
      <c r="U32" s="518"/>
      <c r="V32" s="518"/>
      <c r="W32" s="518"/>
      <c r="X32" s="518"/>
      <c r="Y32" s="518"/>
      <c r="Z32" s="666"/>
      <c r="AA32" s="666"/>
      <c r="AB32" s="520"/>
      <c r="AC32" s="521"/>
      <c r="AD32" s="518">
        <f t="shared" si="2"/>
        <v>0</v>
      </c>
      <c r="AE32" s="522"/>
      <c r="AF32" s="72" t="s">
        <v>1827</v>
      </c>
      <c r="AG32" s="72"/>
      <c r="AH32" s="72" t="s">
        <v>1828</v>
      </c>
      <c r="AI32" s="72"/>
      <c r="AJ32" s="72"/>
      <c r="AK32" s="72"/>
      <c r="AL32" s="72"/>
      <c r="AM32" s="72"/>
      <c r="AN32" s="146"/>
      <c r="AO32" s="522"/>
      <c r="AP32" s="636" t="s">
        <v>1829</v>
      </c>
      <c r="AQ32" s="636" t="s">
        <v>1067</v>
      </c>
      <c r="AR32" s="72"/>
      <c r="AS32" s="72" t="s">
        <v>1830</v>
      </c>
      <c r="AT32" s="72" t="s">
        <v>1831</v>
      </c>
      <c r="AU32" s="518"/>
      <c r="AV32" s="72" t="s">
        <v>1832</v>
      </c>
      <c r="AW32" s="72" t="s">
        <v>1833</v>
      </c>
      <c r="AX32" s="518"/>
      <c r="AY32" s="518"/>
      <c r="AZ32" s="518"/>
      <c r="BA32" s="642"/>
      <c r="BB32" s="642"/>
      <c r="BC32" s="642"/>
      <c r="BD32" s="642"/>
      <c r="BE32" s="642"/>
      <c r="BF32" s="642"/>
      <c r="BG32" s="522"/>
      <c r="BH32" s="72"/>
      <c r="BI32" s="72"/>
      <c r="BJ32" s="72"/>
      <c r="BK32" s="72"/>
      <c r="BL32" s="72"/>
      <c r="BM32" s="72"/>
      <c r="BN32" s="72"/>
      <c r="BO32" s="72"/>
      <c r="BP32" s="518"/>
      <c r="BQ32" s="518"/>
      <c r="BR32" s="518"/>
      <c r="BS32" s="518"/>
      <c r="BT32" s="518"/>
      <c r="BU32" s="72" t="s">
        <v>1834</v>
      </c>
      <c r="BV32" s="72"/>
      <c r="BW32" s="72"/>
      <c r="BX32" s="518"/>
      <c r="BY32" s="72"/>
      <c r="BZ32" s="72"/>
      <c r="CA32" s="72"/>
      <c r="CB32" s="518"/>
      <c r="CC32" s="518"/>
      <c r="CD32" s="521"/>
    </row>
    <row r="33" hidden="1">
      <c r="A33" s="590"/>
      <c r="B33" s="514" t="s">
        <v>1835</v>
      </c>
      <c r="C33" s="25"/>
      <c r="D33" s="224" t="s">
        <v>1836</v>
      </c>
      <c r="E33" s="224"/>
      <c r="F33" s="72" t="s">
        <v>1142</v>
      </c>
      <c r="G33" s="224" t="s">
        <v>1837</v>
      </c>
      <c r="H33" s="224"/>
      <c r="I33" s="26"/>
      <c r="K33" s="224"/>
      <c r="L33" s="26"/>
      <c r="M33" s="224" t="s">
        <v>1838</v>
      </c>
      <c r="N33" s="224"/>
      <c r="O33" s="72"/>
      <c r="P33" s="72" t="s">
        <v>1839</v>
      </c>
      <c r="Q33" s="146"/>
      <c r="R33" s="486" t="str">
        <f t="shared" si="1"/>
        <v>#VALUE!</v>
      </c>
      <c r="S33" s="72"/>
      <c r="T33" s="517"/>
      <c r="U33" s="518"/>
      <c r="V33" s="518"/>
      <c r="W33" s="518"/>
      <c r="X33" s="518"/>
      <c r="Y33" s="518"/>
      <c r="Z33" s="666"/>
      <c r="AA33" s="666"/>
      <c r="AB33" s="520"/>
      <c r="AC33" s="521"/>
      <c r="AD33" s="518">
        <f t="shared" si="2"/>
        <v>0</v>
      </c>
      <c r="AE33" s="522"/>
      <c r="AF33" s="72"/>
      <c r="AG33" s="72"/>
      <c r="AH33" s="72"/>
      <c r="AI33" s="72"/>
      <c r="AJ33" s="72"/>
      <c r="AK33" s="72"/>
      <c r="AL33" s="72"/>
      <c r="AM33" s="72"/>
      <c r="AN33" s="146"/>
      <c r="AO33" s="522"/>
      <c r="AP33" s="72"/>
      <c r="AQ33" s="72"/>
      <c r="AR33" s="72"/>
      <c r="AS33" s="72"/>
      <c r="AT33" s="72"/>
      <c r="AU33" s="518"/>
      <c r="AV33" s="72"/>
      <c r="AW33" s="72"/>
      <c r="AX33" s="518"/>
      <c r="AY33" s="518"/>
      <c r="AZ33" s="518"/>
      <c r="BA33" s="642"/>
      <c r="BB33" s="642"/>
      <c r="BC33" s="642"/>
      <c r="BD33" s="642"/>
      <c r="BE33" s="642"/>
      <c r="BF33" s="642"/>
      <c r="BG33" s="522"/>
      <c r="BH33" s="72"/>
      <c r="BI33" s="72"/>
      <c r="BJ33" s="72"/>
      <c r="BK33" s="72"/>
      <c r="BL33" s="72"/>
      <c r="BM33" s="72"/>
      <c r="BN33" s="72"/>
      <c r="BO33" s="72"/>
      <c r="BP33" s="518"/>
      <c r="BQ33" s="518"/>
      <c r="BR33" s="518"/>
      <c r="BS33" s="518"/>
      <c r="BT33" s="518"/>
      <c r="BU33" s="72"/>
      <c r="BV33" s="72"/>
      <c r="BW33" s="72"/>
      <c r="BX33" s="518"/>
      <c r="BY33" s="72"/>
      <c r="BZ33" s="72"/>
      <c r="CA33" s="72"/>
      <c r="CB33" s="518"/>
      <c r="CC33" s="518"/>
      <c r="CD33" s="521"/>
    </row>
    <row r="34">
      <c r="A34" s="590"/>
      <c r="B34" s="514" t="s">
        <v>540</v>
      </c>
      <c r="C34" s="522">
        <v>0.855</v>
      </c>
      <c r="D34" s="224" t="s">
        <v>1365</v>
      </c>
      <c r="E34" s="224" t="s">
        <v>1366</v>
      </c>
      <c r="F34" s="72">
        <v>0.266</v>
      </c>
      <c r="G34" s="224" t="s">
        <v>1367</v>
      </c>
      <c r="H34" s="224" t="s">
        <v>1368</v>
      </c>
      <c r="I34" s="72">
        <v>0.8</v>
      </c>
      <c r="J34" s="224" t="s">
        <v>1369</v>
      </c>
      <c r="K34" s="224" t="s">
        <v>1370</v>
      </c>
      <c r="L34" s="72">
        <v>0.654</v>
      </c>
      <c r="M34" s="224" t="s">
        <v>1371</v>
      </c>
      <c r="N34" s="224" t="s">
        <v>1372</v>
      </c>
      <c r="O34" s="72">
        <v>0.784</v>
      </c>
      <c r="P34" s="72" t="s">
        <v>1373</v>
      </c>
      <c r="Q34" s="146" t="s">
        <v>1374</v>
      </c>
      <c r="R34" s="486">
        <f t="shared" si="1"/>
        <v>0.6718</v>
      </c>
      <c r="S34" s="72"/>
      <c r="T34" s="517">
        <v>0.418</v>
      </c>
      <c r="U34" s="518" t="s">
        <v>1377</v>
      </c>
      <c r="V34" s="518">
        <v>0.086</v>
      </c>
      <c r="W34" s="224" t="s">
        <v>1378</v>
      </c>
      <c r="X34" s="518">
        <v>0.534</v>
      </c>
      <c r="Y34" s="518" t="s">
        <v>1379</v>
      </c>
      <c r="Z34" s="666"/>
      <c r="AA34" s="666"/>
      <c r="AB34" s="520">
        <v>0.263</v>
      </c>
      <c r="AC34" s="521" t="s">
        <v>1381</v>
      </c>
      <c r="AD34" s="518">
        <f t="shared" si="2"/>
        <v>0.32525</v>
      </c>
      <c r="AE34" s="522"/>
      <c r="AF34" s="72" t="s">
        <v>1382</v>
      </c>
      <c r="AG34" s="72"/>
      <c r="AH34" s="72" t="s">
        <v>1383</v>
      </c>
      <c r="AI34" s="72"/>
      <c r="AJ34" s="72" t="s">
        <v>1384</v>
      </c>
      <c r="AK34" s="72"/>
      <c r="AL34" s="72" t="s">
        <v>1385</v>
      </c>
      <c r="AM34" s="72"/>
      <c r="AN34" s="146" t="s">
        <v>1386</v>
      </c>
      <c r="AO34" s="522"/>
      <c r="AP34" s="72" t="s">
        <v>1387</v>
      </c>
      <c r="AQ34" s="72" t="s">
        <v>1388</v>
      </c>
      <c r="AR34" s="72"/>
      <c r="AS34" s="72" t="s">
        <v>1086</v>
      </c>
      <c r="AT34" s="72" t="s">
        <v>1389</v>
      </c>
      <c r="AU34" s="518"/>
      <c r="AV34" s="72" t="s">
        <v>1390</v>
      </c>
      <c r="AW34" s="72" t="s">
        <v>1391</v>
      </c>
      <c r="AX34" s="518"/>
      <c r="AY34" s="518" t="s">
        <v>1840</v>
      </c>
      <c r="AZ34" s="518" t="s">
        <v>1841</v>
      </c>
      <c r="BA34" s="642"/>
      <c r="BB34" s="642"/>
      <c r="BC34" s="642"/>
      <c r="BD34" s="642"/>
      <c r="BE34" s="642"/>
      <c r="BF34" s="642"/>
      <c r="BG34" s="522"/>
      <c r="BH34" s="72"/>
      <c r="BI34" s="72"/>
      <c r="BJ34" s="72"/>
      <c r="BK34" s="72"/>
      <c r="BL34" s="72"/>
      <c r="BM34" s="72"/>
      <c r="BN34" s="72"/>
      <c r="BO34" s="72"/>
      <c r="BP34" s="518"/>
      <c r="BQ34" s="518"/>
      <c r="BR34" s="518"/>
      <c r="BS34" s="518"/>
      <c r="BT34" s="518"/>
      <c r="BU34" s="72"/>
      <c r="BV34" s="72"/>
      <c r="BW34" s="72"/>
      <c r="BX34" s="518"/>
      <c r="BY34" s="72" t="s">
        <v>1400</v>
      </c>
      <c r="BZ34" s="72"/>
      <c r="CA34" s="72"/>
      <c r="CB34" s="518"/>
      <c r="CC34" s="518"/>
      <c r="CD34" s="521"/>
    </row>
    <row r="35">
      <c r="A35" s="590"/>
      <c r="B35" s="514" t="s">
        <v>567</v>
      </c>
      <c r="C35" s="522">
        <v>0.823</v>
      </c>
      <c r="D35" s="224" t="s">
        <v>1405</v>
      </c>
      <c r="E35" s="224" t="s">
        <v>1406</v>
      </c>
      <c r="F35" s="72">
        <v>0.33</v>
      </c>
      <c r="G35" s="224" t="s">
        <v>1407</v>
      </c>
      <c r="H35" s="224" t="s">
        <v>1408</v>
      </c>
      <c r="I35" s="72">
        <v>0.758</v>
      </c>
      <c r="J35" s="224" t="s">
        <v>1409</v>
      </c>
      <c r="K35" s="224" t="s">
        <v>1410</v>
      </c>
      <c r="L35" s="72">
        <v>0.639</v>
      </c>
      <c r="M35" s="224" t="s">
        <v>1411</v>
      </c>
      <c r="N35" s="224" t="s">
        <v>1412</v>
      </c>
      <c r="O35" s="72">
        <v>0.863</v>
      </c>
      <c r="P35" s="72" t="s">
        <v>1413</v>
      </c>
      <c r="Q35" s="146" t="s">
        <v>1414</v>
      </c>
      <c r="R35" s="486">
        <f t="shared" si="1"/>
        <v>0.6826</v>
      </c>
      <c r="S35" s="72"/>
      <c r="T35" s="517">
        <v>0.428</v>
      </c>
      <c r="U35" s="518" t="s">
        <v>1417</v>
      </c>
      <c r="V35" s="518">
        <v>0.087</v>
      </c>
      <c r="W35" s="518" t="s">
        <v>1418</v>
      </c>
      <c r="X35" s="518">
        <v>0.571</v>
      </c>
      <c r="Y35" s="518" t="s">
        <v>1419</v>
      </c>
      <c r="Z35" s="666"/>
      <c r="AA35" s="666"/>
      <c r="AB35" s="520">
        <v>0.389</v>
      </c>
      <c r="AC35" s="521" t="s">
        <v>1421</v>
      </c>
      <c r="AD35" s="518">
        <f t="shared" si="2"/>
        <v>0.36875</v>
      </c>
      <c r="AE35" s="522"/>
      <c r="AF35" s="72" t="s">
        <v>1422</v>
      </c>
      <c r="AG35" s="72"/>
      <c r="AH35" s="72" t="s">
        <v>1423</v>
      </c>
      <c r="AI35" s="72"/>
      <c r="AJ35" s="72"/>
      <c r="AK35" s="72"/>
      <c r="AM35" s="72"/>
      <c r="AN35" s="146"/>
      <c r="AO35" s="522"/>
      <c r="AP35" s="72" t="s">
        <v>1427</v>
      </c>
      <c r="AQ35" s="72" t="s">
        <v>1428</v>
      </c>
      <c r="AR35" s="72"/>
      <c r="AS35" s="72" t="s">
        <v>1429</v>
      </c>
      <c r="AT35" s="72" t="s">
        <v>1430</v>
      </c>
      <c r="AU35" s="518"/>
      <c r="AV35" s="72"/>
      <c r="AW35" s="72"/>
      <c r="AX35" s="518"/>
      <c r="AY35" s="518"/>
      <c r="AZ35" s="518"/>
      <c r="BA35" s="642"/>
      <c r="BB35" s="642"/>
      <c r="BC35" s="642"/>
      <c r="BD35" s="642"/>
      <c r="BE35" s="642"/>
      <c r="BF35" s="642"/>
      <c r="BG35" s="522"/>
      <c r="BH35" s="72"/>
      <c r="BI35" s="72"/>
      <c r="BJ35" s="72"/>
      <c r="BK35" s="72"/>
      <c r="BL35" s="72"/>
      <c r="BM35" s="72"/>
      <c r="BN35" s="72"/>
      <c r="BO35" s="72"/>
      <c r="BP35" s="518"/>
      <c r="BQ35" s="518"/>
      <c r="BR35" s="518"/>
      <c r="BS35" s="518"/>
      <c r="BT35" s="518"/>
      <c r="BU35" s="72" t="s">
        <v>1438</v>
      </c>
      <c r="BV35" s="72"/>
      <c r="BW35" s="72" t="s">
        <v>1936</v>
      </c>
      <c r="BX35" s="518"/>
      <c r="BY35" s="72" t="s">
        <v>1441</v>
      </c>
      <c r="BZ35" s="72"/>
      <c r="CA35" s="72" t="s">
        <v>1443</v>
      </c>
      <c r="CB35" s="518"/>
      <c r="CC35" s="518"/>
      <c r="CD35" s="521"/>
    </row>
    <row r="36" hidden="1">
      <c r="A36" s="590"/>
      <c r="B36" s="514" t="s">
        <v>1843</v>
      </c>
      <c r="C36" s="25"/>
      <c r="D36" s="224" t="s">
        <v>1844</v>
      </c>
      <c r="E36" s="224"/>
      <c r="F36" s="72"/>
      <c r="G36" s="224" t="s">
        <v>1845</v>
      </c>
      <c r="H36" s="224" t="s">
        <v>1846</v>
      </c>
      <c r="I36" s="26"/>
      <c r="J36" s="224" t="s">
        <v>1847</v>
      </c>
      <c r="K36" s="224" t="s">
        <v>1848</v>
      </c>
      <c r="L36" s="26"/>
      <c r="M36" s="224" t="s">
        <v>1849</v>
      </c>
      <c r="N36" s="224" t="s">
        <v>1850</v>
      </c>
      <c r="O36" s="72"/>
      <c r="P36" s="72" t="s">
        <v>1851</v>
      </c>
      <c r="Q36" s="146"/>
      <c r="R36" s="486">
        <f t="shared" si="1"/>
        <v>0</v>
      </c>
      <c r="S36" s="72"/>
      <c r="T36" s="517"/>
      <c r="U36" s="518"/>
      <c r="V36" s="518"/>
      <c r="W36" s="518" t="s">
        <v>1852</v>
      </c>
      <c r="X36" s="518"/>
      <c r="Y36" s="518" t="s">
        <v>1853</v>
      </c>
      <c r="Z36" s="666"/>
      <c r="AA36" s="666"/>
      <c r="AB36" s="520"/>
      <c r="AC36" s="521"/>
      <c r="AD36" s="518">
        <f t="shared" si="2"/>
        <v>0</v>
      </c>
      <c r="AE36" s="522"/>
      <c r="AF36" s="72"/>
      <c r="AG36" s="72"/>
      <c r="AH36" s="72"/>
      <c r="AI36" s="72"/>
      <c r="AJ36" s="72"/>
      <c r="AK36" s="72"/>
      <c r="AL36" s="72"/>
      <c r="AM36" s="72"/>
      <c r="AN36" s="146"/>
      <c r="AO36" s="522"/>
      <c r="AP36" s="72"/>
      <c r="AQ36" s="72"/>
      <c r="AR36" s="72"/>
      <c r="AS36" s="72"/>
      <c r="AT36" s="72"/>
      <c r="AU36" s="518"/>
      <c r="AV36" s="72"/>
      <c r="AW36" s="72"/>
      <c r="AX36" s="518"/>
      <c r="AY36" s="518"/>
      <c r="AZ36" s="518"/>
      <c r="BA36" s="642"/>
      <c r="BB36" s="642"/>
      <c r="BC36" s="642"/>
      <c r="BD36" s="642"/>
      <c r="BE36" s="642"/>
      <c r="BF36" s="642"/>
      <c r="BG36" s="522"/>
      <c r="BH36" s="72"/>
      <c r="BI36" s="72"/>
      <c r="BJ36" s="72"/>
      <c r="BK36" s="72"/>
      <c r="BL36" s="72"/>
      <c r="BM36" s="72"/>
      <c r="BN36" s="72"/>
      <c r="BO36" s="72"/>
      <c r="BP36" s="518"/>
      <c r="BQ36" s="518"/>
      <c r="BR36" s="518"/>
      <c r="BS36" s="518"/>
      <c r="BT36" s="518"/>
      <c r="BU36" s="72"/>
      <c r="BV36" s="72"/>
      <c r="BW36" s="72"/>
      <c r="BX36" s="518"/>
      <c r="BY36" s="72"/>
      <c r="BZ36" s="72"/>
      <c r="CA36" s="72"/>
      <c r="CB36" s="518"/>
      <c r="CC36" s="518"/>
      <c r="CD36" s="521"/>
    </row>
    <row r="37">
      <c r="A37" s="590"/>
      <c r="B37" s="514" t="s">
        <v>598</v>
      </c>
      <c r="C37" s="522">
        <v>0.873</v>
      </c>
      <c r="D37" s="224" t="s">
        <v>1446</v>
      </c>
      <c r="E37" s="224" t="s">
        <v>1447</v>
      </c>
      <c r="F37" s="72">
        <v>0.326</v>
      </c>
      <c r="G37" s="224" t="s">
        <v>1448</v>
      </c>
      <c r="H37" s="224" t="s">
        <v>1449</v>
      </c>
      <c r="I37" s="72">
        <v>0.791</v>
      </c>
      <c r="J37" s="224" t="s">
        <v>1450</v>
      </c>
      <c r="K37" s="224" t="s">
        <v>1451</v>
      </c>
      <c r="L37" s="72">
        <v>0.655</v>
      </c>
      <c r="M37" s="224" t="s">
        <v>1452</v>
      </c>
      <c r="N37" s="224" t="s">
        <v>1453</v>
      </c>
      <c r="O37" s="72">
        <v>0.755</v>
      </c>
      <c r="P37" s="72" t="s">
        <v>1454</v>
      </c>
      <c r="Q37" s="142" t="s">
        <v>1455</v>
      </c>
      <c r="R37" s="486">
        <f t="shared" si="1"/>
        <v>0.68</v>
      </c>
      <c r="S37" s="224"/>
      <c r="T37" s="517">
        <v>0.475</v>
      </c>
      <c r="U37" s="518" t="s">
        <v>1458</v>
      </c>
      <c r="V37" s="518">
        <v>0.103</v>
      </c>
      <c r="W37" s="518" t="s">
        <v>1459</v>
      </c>
      <c r="X37" s="518">
        <v>0.569</v>
      </c>
      <c r="Y37" s="518" t="s">
        <v>1460</v>
      </c>
      <c r="Z37" s="666"/>
      <c r="AA37" s="666"/>
      <c r="AB37" s="520">
        <v>0.275</v>
      </c>
      <c r="AC37" s="521" t="s">
        <v>1462</v>
      </c>
      <c r="AD37" s="518">
        <f t="shared" si="2"/>
        <v>0.3555</v>
      </c>
      <c r="AE37" s="522"/>
      <c r="AF37" s="72" t="s">
        <v>1463</v>
      </c>
      <c r="AG37" s="72"/>
      <c r="AH37" s="72" t="s">
        <v>870</v>
      </c>
      <c r="AI37" s="72"/>
      <c r="AJ37" s="72" t="s">
        <v>871</v>
      </c>
      <c r="AK37" s="72"/>
      <c r="AL37" s="72" t="s">
        <v>872</v>
      </c>
      <c r="AM37" s="72"/>
      <c r="AN37" s="142" t="s">
        <v>873</v>
      </c>
      <c r="AO37" s="522"/>
      <c r="AP37" s="72" t="s">
        <v>1464</v>
      </c>
      <c r="AQ37" s="72" t="s">
        <v>1465</v>
      </c>
      <c r="AR37" s="72"/>
      <c r="AS37" s="72" t="s">
        <v>1466</v>
      </c>
      <c r="AT37" s="72" t="s">
        <v>1467</v>
      </c>
      <c r="AU37" s="518"/>
      <c r="AV37" s="72" t="s">
        <v>1468</v>
      </c>
      <c r="AW37" s="72" t="s">
        <v>1469</v>
      </c>
      <c r="AX37" s="518"/>
      <c r="AY37" s="518" t="s">
        <v>1854</v>
      </c>
      <c r="AZ37" s="518" t="s">
        <v>1937</v>
      </c>
      <c r="BA37" s="642"/>
      <c r="BB37" s="642"/>
      <c r="BC37" s="642"/>
      <c r="BD37" s="642"/>
      <c r="BE37" s="642"/>
      <c r="BF37" s="642"/>
      <c r="BG37" s="522"/>
      <c r="BH37" s="72"/>
      <c r="BI37" s="72"/>
      <c r="BJ37" s="72"/>
      <c r="BK37" s="72"/>
      <c r="BL37" s="72"/>
      <c r="BM37" s="72"/>
      <c r="BN37" s="72"/>
      <c r="BO37" s="72"/>
      <c r="BP37" s="518"/>
      <c r="BQ37" s="518"/>
      <c r="BR37" s="518"/>
      <c r="BS37" s="518"/>
      <c r="BT37" s="518"/>
      <c r="BU37" s="72"/>
      <c r="BV37" s="72"/>
      <c r="BW37" s="72"/>
      <c r="BX37" s="518"/>
      <c r="BY37" s="72" t="s">
        <v>1478</v>
      </c>
      <c r="BZ37" s="72"/>
      <c r="CA37" s="72" t="s">
        <v>1480</v>
      </c>
      <c r="CB37" s="518"/>
      <c r="CC37" s="518"/>
      <c r="CD37" s="521"/>
    </row>
    <row r="38">
      <c r="A38" s="590"/>
      <c r="B38" s="514" t="s">
        <v>1938</v>
      </c>
      <c r="C38" s="25"/>
      <c r="D38" s="224" t="s">
        <v>1857</v>
      </c>
      <c r="F38" s="72"/>
      <c r="G38" s="224" t="s">
        <v>1485</v>
      </c>
      <c r="H38" s="224" t="s">
        <v>1858</v>
      </c>
      <c r="I38" s="72">
        <v>0.772</v>
      </c>
      <c r="J38" s="224" t="s">
        <v>1859</v>
      </c>
      <c r="K38" s="224" t="s">
        <v>1860</v>
      </c>
      <c r="L38" s="72">
        <v>0.683</v>
      </c>
      <c r="M38" s="224" t="s">
        <v>1939</v>
      </c>
      <c r="N38" s="224" t="s">
        <v>1862</v>
      </c>
      <c r="O38" s="72">
        <v>0.921</v>
      </c>
      <c r="P38" s="72" t="s">
        <v>1491</v>
      </c>
      <c r="Q38" s="142"/>
      <c r="R38" s="486">
        <f t="shared" si="1"/>
        <v>0.4752</v>
      </c>
      <c r="S38" s="224"/>
      <c r="T38" s="517"/>
      <c r="U38" s="518" t="s">
        <v>1940</v>
      </c>
      <c r="V38" s="518"/>
      <c r="W38" s="518" t="s">
        <v>1864</v>
      </c>
      <c r="X38" s="518"/>
      <c r="Y38" s="518" t="s">
        <v>1865</v>
      </c>
      <c r="Z38" s="666"/>
      <c r="AA38" s="666"/>
      <c r="AB38" s="520"/>
      <c r="AC38" s="521" t="s">
        <v>1941</v>
      </c>
      <c r="AD38" s="518">
        <f t="shared" si="2"/>
        <v>0</v>
      </c>
      <c r="AE38" s="522"/>
      <c r="AF38" s="72" t="s">
        <v>1500</v>
      </c>
      <c r="AG38" s="72"/>
      <c r="AH38" s="72" t="s">
        <v>1501</v>
      </c>
      <c r="AI38" s="72"/>
      <c r="AJ38" s="72" t="s">
        <v>1502</v>
      </c>
      <c r="AK38" s="72"/>
      <c r="AL38" s="531" t="s">
        <v>1503</v>
      </c>
      <c r="AM38" s="72"/>
      <c r="AN38" s="615" t="s">
        <v>1504</v>
      </c>
      <c r="AO38" s="522"/>
      <c r="AP38" s="72" t="s">
        <v>1942</v>
      </c>
      <c r="AQ38" s="72" t="s">
        <v>1943</v>
      </c>
      <c r="AR38" s="72"/>
      <c r="AS38" s="224" t="s">
        <v>1944</v>
      </c>
      <c r="AT38" s="72"/>
      <c r="AU38" s="518"/>
      <c r="AV38" s="72" t="s">
        <v>1945</v>
      </c>
      <c r="AW38" s="72"/>
      <c r="AX38" s="518"/>
      <c r="AY38" s="518" t="s">
        <v>1867</v>
      </c>
      <c r="AZ38" s="518"/>
      <c r="BA38" s="642"/>
      <c r="BB38" s="642"/>
      <c r="BC38" s="642"/>
      <c r="BD38" s="642"/>
      <c r="BE38" s="642"/>
      <c r="BF38" s="642"/>
      <c r="BG38" s="522"/>
      <c r="BH38" s="72"/>
      <c r="BI38" s="72"/>
      <c r="BJ38" s="72"/>
      <c r="BK38" s="72"/>
      <c r="BL38" s="72"/>
      <c r="BM38" s="72"/>
      <c r="BN38" s="72"/>
      <c r="BO38" s="72"/>
      <c r="BP38" s="518"/>
      <c r="BQ38" s="518"/>
      <c r="BR38" s="518"/>
      <c r="BS38" s="518"/>
      <c r="BT38" s="518"/>
      <c r="BU38" s="72" t="s">
        <v>1946</v>
      </c>
      <c r="BV38" s="72"/>
      <c r="BW38" s="72"/>
      <c r="BX38" s="518"/>
      <c r="BY38" s="72" t="s">
        <v>1947</v>
      </c>
      <c r="BZ38" s="72"/>
      <c r="CA38" s="72"/>
      <c r="CB38" s="518"/>
      <c r="CC38" s="518"/>
      <c r="CD38" s="521"/>
    </row>
    <row r="39">
      <c r="A39" s="590"/>
      <c r="B39" s="514" t="s">
        <v>1948</v>
      </c>
      <c r="C39" s="25"/>
      <c r="F39" s="72"/>
      <c r="G39" s="533"/>
      <c r="H39" s="484"/>
      <c r="I39" s="26"/>
      <c r="K39" s="224"/>
      <c r="L39" s="26"/>
      <c r="N39" s="224"/>
      <c r="O39" s="72"/>
      <c r="P39" s="72"/>
      <c r="Q39" s="142"/>
      <c r="R39" s="224"/>
      <c r="S39" s="224"/>
      <c r="T39" s="517"/>
      <c r="U39" s="518"/>
      <c r="V39" s="518"/>
      <c r="W39" s="518"/>
      <c r="X39" s="518"/>
      <c r="Y39" s="518"/>
      <c r="Z39" s="666"/>
      <c r="AA39" s="666"/>
      <c r="AB39" s="520"/>
      <c r="AC39" s="521"/>
      <c r="AD39" s="518"/>
      <c r="AE39" s="522"/>
      <c r="AF39" s="72"/>
      <c r="AG39" s="72"/>
      <c r="AH39" s="72"/>
      <c r="AI39" s="72"/>
      <c r="AJ39" s="72"/>
      <c r="AK39" s="72"/>
      <c r="AL39" s="72"/>
      <c r="AM39" s="72"/>
      <c r="AN39" s="142"/>
      <c r="AO39" s="522"/>
      <c r="AP39" s="72"/>
      <c r="AQ39" s="72"/>
      <c r="AR39" s="72"/>
      <c r="AS39" s="72"/>
      <c r="AT39" s="72"/>
      <c r="AU39" s="518"/>
      <c r="AV39" s="72"/>
      <c r="AW39" s="72"/>
      <c r="AX39" s="518"/>
      <c r="AY39" s="518"/>
      <c r="AZ39" s="518"/>
      <c r="BA39" s="642"/>
      <c r="BB39" s="642"/>
      <c r="BC39" s="642"/>
      <c r="BD39" s="642"/>
      <c r="BE39" s="642"/>
      <c r="BF39" s="642"/>
      <c r="BG39" s="522"/>
      <c r="BH39" s="72"/>
      <c r="BI39" s="72"/>
      <c r="BJ39" s="72"/>
      <c r="BK39" s="72"/>
      <c r="BL39" s="72"/>
      <c r="BM39" s="72"/>
      <c r="BN39" s="72"/>
      <c r="BO39" s="72"/>
      <c r="BP39" s="518"/>
      <c r="BQ39" s="518"/>
      <c r="BR39" s="518"/>
      <c r="BS39" s="518"/>
      <c r="BT39" s="518"/>
      <c r="BU39" s="72"/>
      <c r="BV39" s="72"/>
      <c r="BW39" s="72"/>
      <c r="BX39" s="518"/>
      <c r="BY39" s="72"/>
      <c r="BZ39" s="72"/>
      <c r="CA39" s="72"/>
      <c r="CB39" s="518"/>
      <c r="CC39" s="518"/>
      <c r="CD39" s="521"/>
    </row>
    <row r="40">
      <c r="A40" s="590"/>
      <c r="B40" s="142" t="s">
        <v>727</v>
      </c>
      <c r="C40" s="26"/>
      <c r="D40" s="224"/>
      <c r="F40" s="72"/>
      <c r="G40" s="484"/>
      <c r="H40" s="484"/>
      <c r="I40" s="26"/>
      <c r="J40" s="224"/>
      <c r="K40" s="224"/>
      <c r="L40" s="26"/>
      <c r="M40" s="224"/>
      <c r="N40" s="224"/>
      <c r="O40" s="72"/>
      <c r="P40" s="72"/>
      <c r="Q40" s="142"/>
      <c r="R40" s="224"/>
      <c r="S40" s="224"/>
      <c r="T40" s="517"/>
      <c r="U40" s="518"/>
      <c r="V40" s="518"/>
      <c r="W40" s="518"/>
      <c r="X40" s="518"/>
      <c r="Y40" s="518"/>
      <c r="Z40" s="666"/>
      <c r="AA40" s="666"/>
      <c r="AB40" s="520"/>
      <c r="AC40" s="521"/>
      <c r="AD40" s="518"/>
      <c r="AE40" s="522"/>
      <c r="AF40" s="72"/>
      <c r="AG40" s="72"/>
      <c r="AH40" s="72"/>
      <c r="AI40" s="72"/>
      <c r="AJ40" s="72"/>
      <c r="AK40" s="72"/>
      <c r="AL40" s="72"/>
      <c r="AM40" s="72"/>
      <c r="AN40" s="142"/>
      <c r="AO40" s="522"/>
      <c r="AP40" s="72"/>
      <c r="AQ40" s="72"/>
      <c r="AR40" s="72"/>
      <c r="AS40" s="72"/>
      <c r="AT40" s="72"/>
      <c r="AU40" s="518"/>
      <c r="AV40" s="72"/>
      <c r="AW40" s="72"/>
      <c r="AX40" s="518"/>
      <c r="AY40" s="518"/>
      <c r="AZ40" s="518"/>
      <c r="BA40" s="642"/>
      <c r="BB40" s="642"/>
      <c r="BC40" s="642"/>
      <c r="BD40" s="642"/>
      <c r="BE40" s="642"/>
      <c r="BF40" s="642"/>
      <c r="BG40" s="522"/>
      <c r="BH40" s="72"/>
      <c r="BI40" s="72"/>
      <c r="BJ40" s="72"/>
      <c r="BK40" s="72"/>
      <c r="BL40" s="72"/>
      <c r="BM40" s="72"/>
      <c r="BN40" s="72"/>
      <c r="BO40" s="72"/>
      <c r="BP40" s="518"/>
      <c r="BQ40" s="518"/>
      <c r="BR40" s="518"/>
      <c r="BS40" s="518"/>
      <c r="BT40" s="518"/>
      <c r="BU40" s="72"/>
      <c r="BV40" s="72"/>
      <c r="BW40" s="72"/>
      <c r="BX40" s="518"/>
      <c r="BY40" s="72"/>
      <c r="BZ40" s="72"/>
      <c r="CA40" s="72"/>
      <c r="CB40" s="518"/>
      <c r="CC40" s="518"/>
      <c r="CD40" s="521"/>
    </row>
    <row r="41">
      <c r="A41" s="624"/>
      <c r="B41" s="561" t="s">
        <v>728</v>
      </c>
      <c r="C41" s="325"/>
      <c r="D41" s="492"/>
      <c r="E41" s="492"/>
      <c r="F41" s="563"/>
      <c r="G41" s="492"/>
      <c r="H41" s="492"/>
      <c r="I41" s="326"/>
      <c r="J41" s="492"/>
      <c r="K41" s="492"/>
      <c r="L41" s="326"/>
      <c r="M41" s="492"/>
      <c r="N41" s="492"/>
      <c r="O41" s="563"/>
      <c r="P41" s="563"/>
      <c r="Q41" s="324"/>
      <c r="R41" s="492"/>
      <c r="S41" s="492"/>
      <c r="T41" s="662"/>
      <c r="U41" s="568"/>
      <c r="V41" s="568"/>
      <c r="W41" s="568"/>
      <c r="X41" s="568"/>
      <c r="Y41" s="568"/>
      <c r="Z41" s="670"/>
      <c r="AA41" s="670"/>
      <c r="AB41" s="571"/>
      <c r="AC41" s="572"/>
      <c r="AD41" s="568"/>
      <c r="AE41" s="562"/>
      <c r="AF41" s="563"/>
      <c r="AG41" s="563"/>
      <c r="AH41" s="563"/>
      <c r="AI41" s="563"/>
      <c r="AJ41" s="563"/>
      <c r="AK41" s="563"/>
      <c r="AL41" s="563"/>
      <c r="AM41" s="563"/>
      <c r="AN41" s="324"/>
      <c r="AO41" s="562"/>
      <c r="AP41" s="674"/>
      <c r="AQ41" s="674"/>
      <c r="AR41" s="563"/>
      <c r="AS41" s="563"/>
      <c r="AT41" s="563"/>
      <c r="AU41" s="568"/>
      <c r="AV41" s="563"/>
      <c r="AW41" s="563"/>
      <c r="AX41" s="568"/>
      <c r="AY41" s="568"/>
      <c r="AZ41" s="568"/>
      <c r="BA41" s="653"/>
      <c r="BB41" s="653"/>
      <c r="BC41" s="653"/>
      <c r="BD41" s="653"/>
      <c r="BE41" s="653"/>
      <c r="BF41" s="653"/>
      <c r="BG41" s="562"/>
      <c r="BH41" s="563"/>
      <c r="BI41" s="563"/>
      <c r="BJ41" s="563"/>
      <c r="BK41" s="563"/>
      <c r="BL41" s="563"/>
      <c r="BM41" s="563"/>
      <c r="BN41" s="563"/>
      <c r="BO41" s="563"/>
      <c r="BP41" s="568"/>
      <c r="BQ41" s="568"/>
      <c r="BR41" s="568"/>
      <c r="BS41" s="568"/>
      <c r="BT41" s="568"/>
      <c r="BU41" s="563"/>
      <c r="BV41" s="563"/>
      <c r="BW41" s="563"/>
      <c r="BX41" s="568"/>
      <c r="BY41" s="563"/>
      <c r="BZ41" s="563"/>
      <c r="CA41" s="563"/>
      <c r="CB41" s="568"/>
      <c r="CC41" s="568"/>
      <c r="CD41" s="572"/>
    </row>
    <row r="42">
      <c r="A42" s="224"/>
      <c r="B42" s="224"/>
      <c r="C42" s="26"/>
      <c r="D42" s="224"/>
      <c r="E42" s="224"/>
      <c r="F42" s="72"/>
      <c r="G42" s="224"/>
      <c r="H42" s="224"/>
      <c r="I42" s="26"/>
      <c r="J42" s="224"/>
      <c r="K42" s="224"/>
      <c r="L42" s="26"/>
      <c r="M42" s="224"/>
      <c r="N42" s="224"/>
      <c r="O42" s="72"/>
      <c r="P42" s="72"/>
      <c r="Q42" s="224"/>
      <c r="R42" s="224"/>
      <c r="S42" s="224"/>
      <c r="T42" s="518"/>
      <c r="U42" s="518"/>
      <c r="V42" s="518"/>
      <c r="W42" s="518"/>
      <c r="X42" s="518"/>
      <c r="Y42" s="518"/>
      <c r="Z42" s="666"/>
      <c r="AA42" s="666"/>
      <c r="AB42" s="520"/>
      <c r="AC42" s="518"/>
      <c r="AD42" s="518"/>
      <c r="AE42" s="72"/>
      <c r="AF42" s="72"/>
      <c r="AG42" s="72"/>
      <c r="AH42" s="72"/>
      <c r="AI42" s="72"/>
      <c r="AJ42" s="72"/>
      <c r="AK42" s="72"/>
      <c r="AL42" s="72"/>
      <c r="AM42" s="72"/>
      <c r="AN42" s="224"/>
      <c r="AO42" s="72"/>
      <c r="AP42" s="636"/>
      <c r="AQ42" s="636"/>
      <c r="AR42" s="72"/>
      <c r="AS42" s="72"/>
      <c r="AT42" s="72"/>
      <c r="AU42" s="518"/>
      <c r="AV42" s="72"/>
      <c r="AW42" s="72"/>
      <c r="AX42" s="518"/>
      <c r="AY42" s="518"/>
      <c r="AZ42" s="518"/>
      <c r="BA42" s="642"/>
      <c r="BB42" s="642"/>
      <c r="BC42" s="642"/>
      <c r="BD42" s="642"/>
      <c r="BE42" s="642"/>
      <c r="BF42" s="642"/>
      <c r="BG42" s="72"/>
      <c r="BH42" s="72"/>
      <c r="BI42" s="72"/>
      <c r="BJ42" s="72"/>
      <c r="BK42" s="72"/>
      <c r="BL42" s="72"/>
      <c r="BM42" s="72"/>
      <c r="BN42" s="72"/>
      <c r="BO42" s="72"/>
      <c r="BP42" s="518"/>
      <c r="BQ42" s="518"/>
      <c r="BR42" s="518"/>
      <c r="BS42" s="518"/>
      <c r="BT42" s="518"/>
      <c r="BU42" s="72"/>
      <c r="BV42" s="72"/>
      <c r="BW42" s="72"/>
      <c r="BX42" s="518"/>
      <c r="BY42" s="72"/>
      <c r="BZ42" s="72"/>
      <c r="CA42" s="72"/>
      <c r="CB42" s="518"/>
      <c r="CC42" s="518"/>
      <c r="CD42" s="518"/>
    </row>
    <row r="43">
      <c r="A43" s="224"/>
      <c r="B43" s="224"/>
      <c r="C43" s="26"/>
      <c r="D43" s="224"/>
      <c r="E43" s="224"/>
      <c r="F43" s="72"/>
      <c r="G43" s="224"/>
      <c r="H43" s="224"/>
      <c r="I43" s="26"/>
      <c r="J43" s="224"/>
      <c r="K43" s="224"/>
      <c r="L43" s="26"/>
      <c r="M43" s="224"/>
      <c r="N43" s="224"/>
      <c r="O43" s="72"/>
      <c r="P43" s="72"/>
      <c r="Q43" s="224"/>
      <c r="R43" s="224"/>
      <c r="S43" s="224"/>
      <c r="T43" s="518"/>
      <c r="U43" s="518"/>
      <c r="V43" s="518"/>
      <c r="W43" s="518"/>
      <c r="X43" s="518"/>
      <c r="Y43" s="518"/>
      <c r="Z43" s="666"/>
      <c r="AA43" s="666"/>
      <c r="AB43" s="520"/>
      <c r="AC43" s="518"/>
      <c r="AD43" s="518"/>
      <c r="AE43" s="72"/>
      <c r="AF43" s="72"/>
      <c r="AG43" s="72"/>
      <c r="AH43" s="72"/>
      <c r="AI43" s="72"/>
      <c r="AJ43" s="72"/>
      <c r="AK43" s="72"/>
      <c r="AL43" s="72"/>
      <c r="AM43" s="72"/>
      <c r="AN43" s="224"/>
      <c r="AO43" s="72"/>
      <c r="AP43" s="636"/>
      <c r="AQ43" s="636"/>
      <c r="AR43" s="72"/>
      <c r="AS43" s="72"/>
      <c r="AT43" s="72"/>
      <c r="AU43" s="518"/>
      <c r="AV43" s="72"/>
      <c r="AW43" s="72"/>
      <c r="AX43" s="518"/>
      <c r="AY43" s="518"/>
      <c r="AZ43" s="518"/>
      <c r="BA43" s="642"/>
      <c r="BB43" s="642"/>
      <c r="BC43" s="642"/>
      <c r="BD43" s="642"/>
      <c r="BE43" s="642"/>
      <c r="BF43" s="642"/>
      <c r="BG43" s="72"/>
      <c r="BH43" s="72"/>
      <c r="BI43" s="72"/>
      <c r="BJ43" s="72"/>
      <c r="BK43" s="72"/>
      <c r="BL43" s="72"/>
      <c r="BM43" s="72"/>
      <c r="BN43" s="72"/>
      <c r="BO43" s="72"/>
      <c r="BP43" s="518"/>
      <c r="BQ43" s="518"/>
      <c r="BR43" s="518"/>
      <c r="BS43" s="518"/>
      <c r="BT43" s="518"/>
      <c r="BU43" s="72"/>
      <c r="BV43" s="72"/>
      <c r="BW43" s="72"/>
      <c r="BX43" s="518"/>
      <c r="BY43" s="72"/>
      <c r="BZ43" s="72"/>
      <c r="CA43" s="72"/>
      <c r="CB43" s="518"/>
      <c r="CC43" s="518"/>
      <c r="CD43" s="518"/>
    </row>
    <row r="44">
      <c r="A44" s="224"/>
      <c r="B44" s="224"/>
      <c r="C44" s="26"/>
      <c r="D44" s="224"/>
      <c r="E44" s="224"/>
      <c r="F44" s="72"/>
      <c r="G44" s="224"/>
      <c r="H44" s="224"/>
      <c r="I44" s="26"/>
      <c r="J44" s="224"/>
      <c r="K44" s="224"/>
      <c r="L44" s="26"/>
      <c r="M44" s="224"/>
      <c r="N44" s="224"/>
      <c r="O44" s="72"/>
      <c r="P44" s="72"/>
      <c r="Q44" s="224"/>
      <c r="R44" s="224"/>
      <c r="S44" s="224"/>
      <c r="T44" s="518"/>
      <c r="U44" s="518"/>
      <c r="V44" s="518"/>
      <c r="W44" s="518"/>
      <c r="X44" s="518"/>
      <c r="Y44" s="518"/>
      <c r="Z44" s="666"/>
      <c r="AA44" s="666"/>
      <c r="AB44" s="520"/>
      <c r="AC44" s="518"/>
      <c r="AD44" s="518"/>
      <c r="AE44" s="72"/>
      <c r="AF44" s="72"/>
      <c r="AG44" s="72"/>
      <c r="AH44" s="72"/>
      <c r="AI44" s="72"/>
      <c r="AJ44" s="72"/>
      <c r="AK44" s="72"/>
      <c r="AL44" s="72"/>
      <c r="AM44" s="72"/>
      <c r="AN44" s="224"/>
      <c r="AO44" s="72"/>
      <c r="AP44" s="636"/>
      <c r="AQ44" s="636"/>
      <c r="AR44" s="72"/>
      <c r="AS44" s="72"/>
      <c r="AT44" s="72"/>
      <c r="AU44" s="518"/>
      <c r="AV44" s="72"/>
      <c r="AW44" s="72"/>
      <c r="AX44" s="518"/>
      <c r="AY44" s="518"/>
      <c r="AZ44" s="518"/>
      <c r="BA44" s="642"/>
      <c r="BB44" s="642"/>
      <c r="BC44" s="642"/>
      <c r="BD44" s="642"/>
      <c r="BE44" s="642"/>
      <c r="BF44" s="642"/>
      <c r="BG44" s="72"/>
      <c r="BH44" s="72"/>
      <c r="BI44" s="72"/>
      <c r="BJ44" s="72"/>
      <c r="BK44" s="72"/>
      <c r="BL44" s="72"/>
      <c r="BM44" s="72"/>
      <c r="BN44" s="72"/>
      <c r="BO44" s="72"/>
      <c r="BP44" s="518"/>
      <c r="BQ44" s="518"/>
      <c r="BR44" s="518"/>
      <c r="BS44" s="518"/>
      <c r="BT44" s="518"/>
      <c r="BU44" s="72"/>
      <c r="BV44" s="72"/>
      <c r="BW44" s="72"/>
      <c r="BX44" s="518"/>
      <c r="BY44" s="72"/>
      <c r="BZ44" s="72"/>
      <c r="CA44" s="72"/>
      <c r="CB44" s="518"/>
      <c r="CC44" s="518"/>
      <c r="CD44" s="518"/>
    </row>
    <row r="45">
      <c r="A45" s="224"/>
      <c r="B45" s="224"/>
      <c r="C45" s="26"/>
      <c r="D45" s="224"/>
      <c r="E45" s="224"/>
      <c r="F45" s="72"/>
      <c r="G45" s="224"/>
      <c r="H45" s="224"/>
      <c r="I45" s="26"/>
      <c r="J45" s="224"/>
      <c r="K45" s="224"/>
      <c r="L45" s="26"/>
      <c r="M45" s="224"/>
      <c r="N45" s="224"/>
      <c r="O45" s="72"/>
      <c r="P45" s="72"/>
      <c r="Q45" s="224"/>
      <c r="R45" s="224"/>
      <c r="S45" s="224"/>
      <c r="T45" s="518"/>
      <c r="U45" s="518"/>
      <c r="V45" s="518"/>
      <c r="W45" s="518"/>
      <c r="X45" s="518"/>
      <c r="Y45" s="518"/>
      <c r="Z45" s="518"/>
      <c r="AA45" s="518"/>
      <c r="AB45" s="518"/>
      <c r="AC45" s="518"/>
      <c r="AD45" s="518"/>
      <c r="AE45" s="72"/>
      <c r="AF45" s="72"/>
      <c r="AG45" s="72"/>
      <c r="AH45" s="72"/>
      <c r="AI45" s="72"/>
      <c r="AJ45" s="72"/>
      <c r="AK45" s="72"/>
      <c r="AL45" s="72"/>
      <c r="AM45" s="72"/>
      <c r="AN45" s="224"/>
      <c r="AO45" s="72"/>
      <c r="AP45" s="72"/>
      <c r="AQ45" s="72"/>
      <c r="AR45" s="72"/>
      <c r="AS45" s="72"/>
      <c r="AT45" s="72"/>
      <c r="AU45" s="518"/>
      <c r="AV45" s="72"/>
      <c r="AW45" s="72"/>
      <c r="AX45" s="518"/>
      <c r="AY45" s="518"/>
      <c r="AZ45" s="518"/>
      <c r="BA45" s="518"/>
      <c r="BB45" s="518"/>
      <c r="BC45" s="518"/>
      <c r="BD45" s="518"/>
      <c r="BE45" s="518"/>
      <c r="BF45" s="518"/>
      <c r="BG45" s="518"/>
      <c r="BH45" s="518"/>
      <c r="BI45" s="518"/>
      <c r="BJ45" s="518"/>
      <c r="BK45" s="518"/>
      <c r="BL45" s="518"/>
      <c r="BM45" s="518"/>
      <c r="BN45" s="518"/>
      <c r="BO45" s="518"/>
      <c r="BP45" s="518"/>
      <c r="BQ45" s="518"/>
      <c r="BR45" s="518"/>
      <c r="BS45" s="518"/>
      <c r="BT45" s="518"/>
      <c r="BU45" s="72"/>
      <c r="BV45" s="72"/>
      <c r="BW45" s="72"/>
      <c r="BX45" s="72"/>
      <c r="BY45" s="72"/>
      <c r="BZ45" s="72"/>
      <c r="CA45" s="72"/>
      <c r="CB45" s="518"/>
      <c r="CC45" s="518"/>
      <c r="CD45" s="518"/>
    </row>
    <row r="46">
      <c r="A46" s="224"/>
      <c r="B46" s="224"/>
      <c r="C46" s="26"/>
      <c r="D46" s="224"/>
      <c r="E46" s="224"/>
      <c r="F46" s="72"/>
      <c r="G46" s="224"/>
      <c r="H46" s="224"/>
      <c r="I46" s="26"/>
      <c r="J46" s="224"/>
      <c r="K46" s="224"/>
      <c r="L46" s="26"/>
      <c r="M46" s="224"/>
      <c r="N46" s="224"/>
      <c r="O46" s="72"/>
      <c r="P46" s="72"/>
      <c r="Q46" s="224"/>
      <c r="R46" s="224"/>
      <c r="S46" s="224"/>
      <c r="T46" s="518"/>
      <c r="U46" s="518"/>
      <c r="V46" s="518"/>
      <c r="W46" s="518"/>
      <c r="X46" s="518"/>
      <c r="Y46" s="518"/>
      <c r="Z46" s="518"/>
      <c r="AA46" s="518"/>
      <c r="AB46" s="518"/>
      <c r="AC46" s="518"/>
      <c r="AD46" s="518"/>
      <c r="AE46" s="72"/>
      <c r="AF46" s="72"/>
      <c r="AG46" s="72"/>
      <c r="AH46" s="72"/>
      <c r="AI46" s="72"/>
      <c r="AJ46" s="72"/>
      <c r="AK46" s="72"/>
      <c r="AL46" s="72"/>
      <c r="AM46" s="72"/>
      <c r="AN46" s="224"/>
      <c r="AO46" s="72"/>
      <c r="AP46" s="72"/>
      <c r="AQ46" s="72"/>
      <c r="AR46" s="72"/>
      <c r="AS46" s="72"/>
      <c r="AT46" s="72"/>
      <c r="AU46" s="518"/>
      <c r="AV46" s="72"/>
      <c r="AW46" s="72"/>
      <c r="AX46" s="518"/>
      <c r="AY46" s="518"/>
      <c r="AZ46" s="518"/>
      <c r="BA46" s="518"/>
      <c r="BB46" s="518"/>
      <c r="BC46" s="518"/>
      <c r="BD46" s="518"/>
      <c r="BE46" s="518"/>
      <c r="BF46" s="518"/>
      <c r="BG46" s="518"/>
      <c r="BH46" s="518"/>
      <c r="BI46" s="518"/>
      <c r="BJ46" s="518"/>
      <c r="BK46" s="518"/>
      <c r="BL46" s="518"/>
      <c r="BM46" s="518"/>
      <c r="BN46" s="518"/>
      <c r="BO46" s="518"/>
      <c r="BP46" s="518"/>
      <c r="BQ46" s="518"/>
      <c r="BR46" s="518"/>
      <c r="BS46" s="518"/>
      <c r="BT46" s="518"/>
      <c r="BU46" s="72"/>
      <c r="BV46" s="72"/>
      <c r="BW46" s="72"/>
      <c r="BX46" s="72"/>
      <c r="BY46" s="72"/>
      <c r="BZ46" s="72"/>
      <c r="CA46" s="72"/>
      <c r="CB46" s="518"/>
      <c r="CC46" s="518"/>
      <c r="CD46" s="518"/>
    </row>
    <row r="47">
      <c r="A47" s="224"/>
      <c r="B47" s="224"/>
      <c r="C47" s="26"/>
      <c r="D47" s="224"/>
      <c r="E47" s="224"/>
      <c r="F47" s="72"/>
      <c r="G47" s="224"/>
      <c r="H47" s="224"/>
      <c r="I47" s="26"/>
      <c r="J47" s="224"/>
      <c r="K47" s="224"/>
      <c r="L47" s="26"/>
      <c r="M47" s="224"/>
      <c r="N47" s="224"/>
      <c r="O47" s="72"/>
      <c r="P47" s="72"/>
      <c r="Q47" s="224"/>
      <c r="R47" s="224"/>
      <c r="S47" s="224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224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</row>
    <row r="49">
      <c r="A49" s="224"/>
    </row>
    <row r="50">
      <c r="A50" s="224"/>
      <c r="L50" s="224" t="s">
        <v>692</v>
      </c>
    </row>
    <row r="51">
      <c r="A51" s="224" t="s">
        <v>693</v>
      </c>
    </row>
    <row r="56">
      <c r="AR56" s="224"/>
      <c r="AS56" s="224"/>
      <c r="AT56" s="224"/>
      <c r="AU56" s="224" t="s">
        <v>1647</v>
      </c>
    </row>
    <row r="57">
      <c r="AU57" s="1" t="s">
        <v>12</v>
      </c>
      <c r="AV57" s="1" t="s">
        <v>13</v>
      </c>
      <c r="AX57" s="1" t="s">
        <v>14</v>
      </c>
      <c r="AY57" s="1" t="s">
        <v>15</v>
      </c>
      <c r="BB57" s="1" t="s">
        <v>1880</v>
      </c>
    </row>
    <row r="58">
      <c r="AP58" s="224" t="s">
        <v>694</v>
      </c>
      <c r="AQ58" s="224"/>
      <c r="AR58" s="531"/>
      <c r="AS58" s="531"/>
      <c r="AT58" s="531"/>
      <c r="AU58" s="531">
        <v>0.708</v>
      </c>
      <c r="AV58" s="531">
        <v>0.714</v>
      </c>
      <c r="AW58" s="531"/>
      <c r="AX58" s="72">
        <v>0.621</v>
      </c>
      <c r="AY58" s="72">
        <v>0.387</v>
      </c>
      <c r="AZ58" s="72"/>
      <c r="BA58" s="531"/>
      <c r="BB58" s="531">
        <v>0.834</v>
      </c>
    </row>
    <row r="59">
      <c r="AP59" s="224" t="s">
        <v>695</v>
      </c>
      <c r="AQ59" s="224"/>
      <c r="AR59" s="72"/>
      <c r="AS59" s="72"/>
      <c r="AT59" s="72"/>
      <c r="AU59" s="72">
        <v>0.684</v>
      </c>
      <c r="AV59" s="72">
        <v>0.282</v>
      </c>
      <c r="AW59" s="72"/>
      <c r="AX59" s="531">
        <v>0.755</v>
      </c>
      <c r="AY59" s="531">
        <v>0.491</v>
      </c>
      <c r="AZ59" s="531"/>
      <c r="BA59" s="72"/>
      <c r="BB59" s="72">
        <v>0.683</v>
      </c>
    </row>
  </sheetData>
  <mergeCells count="18">
    <mergeCell ref="BP3:BQ3"/>
    <mergeCell ref="CB3:CD3"/>
    <mergeCell ref="AB3:AC3"/>
    <mergeCell ref="AI3:AJ3"/>
    <mergeCell ref="AO3:AP3"/>
    <mergeCell ref="AR3:AS3"/>
    <mergeCell ref="BA3:BC3"/>
    <mergeCell ref="BD3:BF3"/>
    <mergeCell ref="BG3:BH3"/>
    <mergeCell ref="A5:A14"/>
    <mergeCell ref="A15:A41"/>
    <mergeCell ref="A1:B1"/>
    <mergeCell ref="C3:D3"/>
    <mergeCell ref="F3:G3"/>
    <mergeCell ref="I3:J3"/>
    <mergeCell ref="L3:M3"/>
    <mergeCell ref="O3:Q3"/>
    <mergeCell ref="T3:U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0.0"/>
    <col customWidth="1" min="2" max="2" width="26.71"/>
    <col customWidth="1" min="3" max="3" width="9.57"/>
    <col customWidth="1" min="4" max="5" width="11.86"/>
    <col customWidth="1" min="6" max="6" width="9.43"/>
    <col customWidth="1" min="9" max="9" width="8.0"/>
    <col customWidth="1" min="12" max="12" width="11.29"/>
    <col customWidth="1" min="15" max="15" width="9.71"/>
    <col customWidth="1" min="16" max="16" width="14.57"/>
    <col customWidth="1" min="17" max="17" width="11.57"/>
    <col customWidth="1" min="18" max="18" width="9.71"/>
    <col customWidth="1" min="19" max="19" width="11.14"/>
    <col customWidth="1" min="20" max="20" width="9.71"/>
    <col customWidth="1" min="21" max="21" width="12.71"/>
    <col customWidth="1" min="22" max="26" width="9.71"/>
    <col customWidth="1" min="27" max="27" width="11.86"/>
    <col customWidth="1" min="28" max="36" width="9.71"/>
    <col customWidth="1" min="37" max="37" width="11.71"/>
    <col customWidth="1" min="38" max="38" width="10.71"/>
    <col customWidth="1" min="39" max="39" width="12.14"/>
    <col customWidth="1" min="40" max="40" width="12.43"/>
    <col customWidth="1" min="41" max="41" width="11.0"/>
    <col customWidth="1" min="42" max="42" width="12.57"/>
    <col customWidth="1" min="43" max="43" width="15.57"/>
    <col customWidth="1" min="44" max="44" width="8.0"/>
    <col customWidth="1" min="45" max="45" width="12.57"/>
    <col customWidth="1" min="46" max="46" width="13.57"/>
    <col customWidth="1" min="47" max="47" width="6.57"/>
    <col customWidth="1" min="48" max="48" width="9.86"/>
    <col customWidth="1" min="49" max="49" width="12.14"/>
    <col hidden="1" min="56" max="59" width="14.43"/>
    <col customWidth="1" hidden="1" min="60" max="60" width="11.57"/>
    <col hidden="1" min="61" max="64" width="14.43"/>
  </cols>
  <sheetData>
    <row r="1">
      <c r="A1" s="483" t="s">
        <v>1949</v>
      </c>
      <c r="C1" s="224"/>
    </row>
    <row r="2">
      <c r="A2" s="483" t="s">
        <v>1950</v>
      </c>
      <c r="C2" s="484" t="s">
        <v>2</v>
      </c>
      <c r="R2" s="484" t="s">
        <v>3</v>
      </c>
      <c r="W2" s="224" t="s">
        <v>692</v>
      </c>
      <c r="AB2" s="484" t="s">
        <v>4</v>
      </c>
      <c r="AL2" s="484" t="s">
        <v>5</v>
      </c>
      <c r="BD2" s="484" t="s">
        <v>1650</v>
      </c>
      <c r="BM2" s="484" t="s">
        <v>6</v>
      </c>
      <c r="BY2" s="484" t="s">
        <v>1651</v>
      </c>
      <c r="BZ2" s="484" t="s">
        <v>1652</v>
      </c>
    </row>
    <row r="3">
      <c r="A3" s="224"/>
      <c r="B3" s="224"/>
      <c r="C3" s="180" t="s">
        <v>12</v>
      </c>
      <c r="D3" s="485"/>
      <c r="E3" s="486"/>
      <c r="F3" s="486" t="s">
        <v>13</v>
      </c>
      <c r="G3" s="485"/>
      <c r="H3" s="486"/>
      <c r="I3" s="486" t="s">
        <v>14</v>
      </c>
      <c r="J3" s="485"/>
      <c r="K3" s="486"/>
      <c r="L3" s="486" t="s">
        <v>15</v>
      </c>
      <c r="M3" s="485"/>
      <c r="N3" s="486"/>
      <c r="O3" s="486" t="s">
        <v>16</v>
      </c>
      <c r="P3" s="485"/>
      <c r="Q3" s="487"/>
      <c r="R3" s="488" t="s">
        <v>18</v>
      </c>
      <c r="S3" s="485"/>
      <c r="T3" s="489" t="s">
        <v>19</v>
      </c>
      <c r="U3" s="489"/>
      <c r="V3" s="489" t="s">
        <v>20</v>
      </c>
      <c r="W3" s="489"/>
      <c r="X3" s="663" t="s">
        <v>21</v>
      </c>
      <c r="Y3" s="663"/>
      <c r="Z3" s="489" t="s">
        <v>22</v>
      </c>
      <c r="AA3" s="487"/>
      <c r="AB3" s="180" t="s">
        <v>23</v>
      </c>
      <c r="AC3" s="486"/>
      <c r="AD3" s="486" t="s">
        <v>24</v>
      </c>
      <c r="AE3" s="486"/>
      <c r="AF3" s="486" t="s">
        <v>25</v>
      </c>
      <c r="AG3" s="485"/>
      <c r="AH3" s="486" t="s">
        <v>26</v>
      </c>
      <c r="AI3" s="486"/>
      <c r="AJ3" s="486" t="s">
        <v>27</v>
      </c>
      <c r="AK3" s="24"/>
      <c r="AL3" s="180" t="s">
        <v>31</v>
      </c>
      <c r="AM3" s="485"/>
      <c r="AN3" s="486"/>
      <c r="AO3" s="486" t="s">
        <v>32</v>
      </c>
      <c r="AP3" s="485"/>
      <c r="AQ3" s="486"/>
      <c r="AR3" s="486" t="s">
        <v>808</v>
      </c>
      <c r="AS3" s="486"/>
      <c r="AT3" s="486"/>
      <c r="AU3" s="489" t="s">
        <v>1883</v>
      </c>
      <c r="AV3" s="489"/>
      <c r="AW3" s="489"/>
      <c r="AX3" s="637" t="s">
        <v>1653</v>
      </c>
      <c r="AY3" s="485"/>
      <c r="AZ3" s="485"/>
      <c r="BA3" s="637" t="s">
        <v>1654</v>
      </c>
      <c r="BB3" s="485"/>
      <c r="BC3" s="487"/>
      <c r="BD3" s="486" t="s">
        <v>1655</v>
      </c>
      <c r="BE3" s="485"/>
      <c r="BF3" s="486"/>
      <c r="BG3" s="486" t="s">
        <v>1656</v>
      </c>
      <c r="BH3" s="486"/>
      <c r="BI3" s="486"/>
      <c r="BJ3" s="486" t="s">
        <v>1657</v>
      </c>
      <c r="BK3" s="486"/>
      <c r="BL3" s="486"/>
      <c r="BM3" s="489" t="s">
        <v>36</v>
      </c>
      <c r="BN3" s="485"/>
      <c r="BO3" s="489"/>
      <c r="BP3" s="486" t="s">
        <v>37</v>
      </c>
      <c r="BQ3" s="486"/>
      <c r="BR3" s="486"/>
      <c r="BS3" s="486" t="s">
        <v>38</v>
      </c>
      <c r="BT3" s="486"/>
      <c r="BU3" s="486"/>
      <c r="BV3" s="489" t="s">
        <v>39</v>
      </c>
      <c r="BW3" s="485"/>
      <c r="BX3" s="487"/>
      <c r="BY3" s="638"/>
      <c r="BZ3" s="638"/>
    </row>
    <row r="4">
      <c r="C4" s="491" t="s">
        <v>44</v>
      </c>
      <c r="D4" s="492" t="s">
        <v>809</v>
      </c>
      <c r="E4" s="492" t="s">
        <v>810</v>
      </c>
      <c r="F4" s="492" t="s">
        <v>44</v>
      </c>
      <c r="G4" s="492" t="s">
        <v>809</v>
      </c>
      <c r="H4" s="492" t="s">
        <v>810</v>
      </c>
      <c r="I4" s="492" t="s">
        <v>44</v>
      </c>
      <c r="J4" s="492" t="s">
        <v>809</v>
      </c>
      <c r="K4" s="492" t="s">
        <v>810</v>
      </c>
      <c r="L4" s="492" t="s">
        <v>44</v>
      </c>
      <c r="M4" s="492" t="s">
        <v>809</v>
      </c>
      <c r="N4" s="492" t="s">
        <v>810</v>
      </c>
      <c r="O4" s="492" t="s">
        <v>44</v>
      </c>
      <c r="P4" s="492" t="s">
        <v>809</v>
      </c>
      <c r="Q4" s="324" t="s">
        <v>810</v>
      </c>
      <c r="R4" s="493" t="s">
        <v>44</v>
      </c>
      <c r="S4" s="494" t="s">
        <v>809</v>
      </c>
      <c r="T4" s="494" t="s">
        <v>44</v>
      </c>
      <c r="U4" s="494" t="s">
        <v>809</v>
      </c>
      <c r="V4" s="494" t="s">
        <v>44</v>
      </c>
      <c r="W4" s="494" t="s">
        <v>809</v>
      </c>
      <c r="X4" s="664" t="s">
        <v>44</v>
      </c>
      <c r="Y4" s="664" t="s">
        <v>809</v>
      </c>
      <c r="Z4" s="494" t="s">
        <v>44</v>
      </c>
      <c r="AA4" s="495" t="s">
        <v>809</v>
      </c>
      <c r="AB4" s="491" t="s">
        <v>44</v>
      </c>
      <c r="AC4" s="492" t="s">
        <v>809</v>
      </c>
      <c r="AD4" s="492" t="s">
        <v>44</v>
      </c>
      <c r="AE4" s="492" t="s">
        <v>809</v>
      </c>
      <c r="AF4" s="492" t="s">
        <v>44</v>
      </c>
      <c r="AG4" s="492" t="s">
        <v>809</v>
      </c>
      <c r="AH4" s="492" t="s">
        <v>44</v>
      </c>
      <c r="AI4" s="492" t="s">
        <v>809</v>
      </c>
      <c r="AJ4" s="492" t="s">
        <v>44</v>
      </c>
      <c r="AK4" s="324" t="s">
        <v>809</v>
      </c>
      <c r="AL4" s="491" t="s">
        <v>44</v>
      </c>
      <c r="AM4" s="492" t="s">
        <v>809</v>
      </c>
      <c r="AN4" s="492" t="s">
        <v>810</v>
      </c>
      <c r="AO4" s="492" t="s">
        <v>44</v>
      </c>
      <c r="AP4" s="492" t="s">
        <v>809</v>
      </c>
      <c r="AQ4" s="492" t="s">
        <v>810</v>
      </c>
      <c r="AR4" s="494" t="s">
        <v>44</v>
      </c>
      <c r="AS4" s="492" t="s">
        <v>809</v>
      </c>
      <c r="AT4" s="492" t="s">
        <v>810</v>
      </c>
      <c r="AU4" s="494" t="s">
        <v>44</v>
      </c>
      <c r="AV4" s="494" t="s">
        <v>809</v>
      </c>
      <c r="AW4" s="494" t="s">
        <v>810</v>
      </c>
      <c r="AX4" s="639" t="s">
        <v>1659</v>
      </c>
      <c r="AY4" s="639" t="s">
        <v>809</v>
      </c>
      <c r="AZ4" s="639" t="s">
        <v>810</v>
      </c>
      <c r="BA4" s="639" t="s">
        <v>1659</v>
      </c>
      <c r="BB4" s="639" t="s">
        <v>809</v>
      </c>
      <c r="BC4" s="639" t="s">
        <v>810</v>
      </c>
      <c r="BD4" s="491" t="s">
        <v>44</v>
      </c>
      <c r="BE4" s="492" t="s">
        <v>809</v>
      </c>
      <c r="BF4" s="492" t="s">
        <v>810</v>
      </c>
      <c r="BG4" s="492" t="s">
        <v>44</v>
      </c>
      <c r="BH4" s="492" t="s">
        <v>809</v>
      </c>
      <c r="BI4" s="492" t="s">
        <v>810</v>
      </c>
      <c r="BJ4" s="492" t="s">
        <v>44</v>
      </c>
      <c r="BK4" s="492" t="s">
        <v>809</v>
      </c>
      <c r="BL4" s="492" t="s">
        <v>810</v>
      </c>
      <c r="BM4" s="493" t="s">
        <v>44</v>
      </c>
      <c r="BN4" s="494" t="s">
        <v>809</v>
      </c>
      <c r="BO4" s="494" t="s">
        <v>810</v>
      </c>
      <c r="BP4" s="494" t="s">
        <v>44</v>
      </c>
      <c r="BQ4" s="492" t="s">
        <v>809</v>
      </c>
      <c r="BR4" s="492" t="s">
        <v>810</v>
      </c>
      <c r="BS4" s="492" t="s">
        <v>44</v>
      </c>
      <c r="BT4" s="492" t="s">
        <v>809</v>
      </c>
      <c r="BU4" s="492" t="s">
        <v>810</v>
      </c>
      <c r="BV4" s="494" t="s">
        <v>44</v>
      </c>
      <c r="BW4" s="495" t="s">
        <v>809</v>
      </c>
      <c r="BX4" s="495" t="s">
        <v>810</v>
      </c>
    </row>
    <row r="5">
      <c r="A5" s="180" t="s">
        <v>1886</v>
      </c>
      <c r="B5" s="496" t="s">
        <v>53</v>
      </c>
      <c r="C5" s="457">
        <v>0.832</v>
      </c>
      <c r="D5" s="486" t="s">
        <v>1660</v>
      </c>
      <c r="E5" s="486"/>
      <c r="F5" s="457">
        <v>0.341</v>
      </c>
      <c r="G5" s="486" t="s">
        <v>1662</v>
      </c>
      <c r="H5" s="486"/>
      <c r="I5" s="457">
        <v>0.793</v>
      </c>
      <c r="J5" s="486" t="s">
        <v>1663</v>
      </c>
      <c r="K5" s="486"/>
      <c r="L5" s="457">
        <v>0.632</v>
      </c>
      <c r="M5" s="486" t="s">
        <v>1664</v>
      </c>
      <c r="N5" s="486"/>
      <c r="O5" s="457">
        <v>0.835</v>
      </c>
      <c r="P5" s="457" t="s">
        <v>1951</v>
      </c>
      <c r="Q5" s="506"/>
      <c r="R5" s="581"/>
      <c r="S5" s="507"/>
      <c r="T5" s="507"/>
      <c r="U5" s="507" t="s">
        <v>1952</v>
      </c>
      <c r="V5" s="507"/>
      <c r="W5" s="507"/>
      <c r="X5" s="665"/>
      <c r="Y5" s="665"/>
      <c r="Z5" s="641"/>
      <c r="AA5" s="585" t="s">
        <v>1667</v>
      </c>
      <c r="AB5" s="505"/>
      <c r="AC5" s="457" t="s">
        <v>829</v>
      </c>
      <c r="AD5" s="457"/>
      <c r="AE5" s="457" t="s">
        <v>830</v>
      </c>
      <c r="AF5" s="457"/>
      <c r="AG5" s="457" t="s">
        <v>831</v>
      </c>
      <c r="AH5" s="457"/>
      <c r="AI5" s="457" t="s">
        <v>832</v>
      </c>
      <c r="AJ5" s="457"/>
      <c r="AK5" s="506" t="s">
        <v>1953</v>
      </c>
      <c r="AL5" s="505" t="s">
        <v>98</v>
      </c>
      <c r="AM5" s="457" t="s">
        <v>834</v>
      </c>
      <c r="AN5" s="457" t="s">
        <v>835</v>
      </c>
      <c r="AO5" s="72" t="s">
        <v>102</v>
      </c>
      <c r="AP5" s="72" t="s">
        <v>836</v>
      </c>
      <c r="AQ5" s="457" t="s">
        <v>837</v>
      </c>
      <c r="AR5" s="507">
        <v>0.993</v>
      </c>
      <c r="AS5" s="457" t="s">
        <v>838</v>
      </c>
      <c r="AT5" s="457" t="s">
        <v>839</v>
      </c>
      <c r="AU5" s="507"/>
      <c r="AV5" s="507"/>
      <c r="AW5" s="507"/>
      <c r="AX5" s="642"/>
      <c r="AY5" s="642"/>
      <c r="AZ5" s="643"/>
      <c r="BA5" s="643"/>
      <c r="BB5" s="643"/>
      <c r="BC5" s="643"/>
      <c r="BD5" s="505"/>
      <c r="BE5" s="457"/>
      <c r="BF5" s="457"/>
      <c r="BG5" s="457"/>
      <c r="BH5" s="457"/>
      <c r="BI5" s="457"/>
      <c r="BJ5" s="457"/>
      <c r="BK5" s="457"/>
      <c r="BL5" s="457"/>
      <c r="BM5" s="507"/>
      <c r="BN5" s="507"/>
      <c r="BO5" s="507"/>
      <c r="BP5" s="507"/>
      <c r="BQ5" s="72" t="s">
        <v>845</v>
      </c>
      <c r="BR5" s="457" t="s">
        <v>847</v>
      </c>
      <c r="BS5" s="507"/>
      <c r="BT5" s="457" t="s">
        <v>848</v>
      </c>
      <c r="BU5" s="457" t="s">
        <v>850</v>
      </c>
      <c r="BV5" s="507"/>
      <c r="BW5" s="507"/>
      <c r="BX5" s="585"/>
    </row>
    <row r="6">
      <c r="A6" s="513"/>
      <c r="B6" s="514" t="s">
        <v>114</v>
      </c>
      <c r="C6" s="72">
        <v>0.906</v>
      </c>
      <c r="D6" s="224" t="s">
        <v>853</v>
      </c>
      <c r="E6" s="224"/>
      <c r="F6" s="72"/>
      <c r="G6" s="224" t="s">
        <v>855</v>
      </c>
      <c r="H6" s="224"/>
      <c r="I6" s="72"/>
      <c r="J6" s="224" t="s">
        <v>857</v>
      </c>
      <c r="K6" s="224"/>
      <c r="L6" s="72">
        <v>0.701</v>
      </c>
      <c r="M6" s="224" t="s">
        <v>858</v>
      </c>
      <c r="N6" s="224"/>
      <c r="O6" s="72"/>
      <c r="P6" s="72" t="s">
        <v>860</v>
      </c>
      <c r="Q6" s="142"/>
      <c r="R6" s="517"/>
      <c r="S6" s="518"/>
      <c r="T6" s="518"/>
      <c r="U6" s="518"/>
      <c r="V6" s="518"/>
      <c r="W6" s="518"/>
      <c r="X6" s="666"/>
      <c r="Y6" s="666"/>
      <c r="Z6" s="520">
        <v>0.383</v>
      </c>
      <c r="AA6" s="521" t="s">
        <v>868</v>
      </c>
      <c r="AB6" s="522"/>
      <c r="AC6" s="72"/>
      <c r="AD6" s="72"/>
      <c r="AE6" s="72"/>
      <c r="AF6" s="72"/>
      <c r="AG6" s="72"/>
      <c r="AH6" s="72"/>
      <c r="AI6" s="72"/>
      <c r="AJ6" s="72"/>
      <c r="AK6" s="142"/>
      <c r="AL6" s="72"/>
      <c r="AM6" s="72"/>
      <c r="AN6" s="72"/>
      <c r="AO6" s="72"/>
      <c r="AP6" s="72"/>
      <c r="AQ6" s="72"/>
      <c r="AR6" s="518"/>
      <c r="AS6" s="72"/>
      <c r="AT6" s="72"/>
      <c r="AU6" s="518"/>
      <c r="AV6" s="518"/>
      <c r="AW6" s="518"/>
      <c r="AX6" s="642"/>
      <c r="AY6" s="642"/>
      <c r="AZ6" s="642"/>
      <c r="BA6" s="642"/>
      <c r="BB6" s="642"/>
      <c r="BC6" s="642"/>
      <c r="BD6" s="522"/>
      <c r="BE6" s="72"/>
      <c r="BF6" s="72"/>
      <c r="BG6" s="72"/>
      <c r="BH6" s="72"/>
      <c r="BI6" s="72"/>
      <c r="BJ6" s="72"/>
      <c r="BK6" s="72"/>
      <c r="BL6" s="72"/>
      <c r="BM6" s="518"/>
      <c r="BN6" s="518"/>
      <c r="BO6" s="518"/>
      <c r="BP6" s="518"/>
      <c r="BQ6" s="72"/>
      <c r="BR6" s="72"/>
      <c r="BS6" s="518"/>
      <c r="BT6" s="72"/>
      <c r="BU6" s="72"/>
      <c r="BV6" s="518"/>
      <c r="BW6" s="518"/>
      <c r="BX6" s="521"/>
    </row>
    <row r="7">
      <c r="A7" s="513"/>
      <c r="B7" s="514" t="s">
        <v>1672</v>
      </c>
      <c r="C7" s="25"/>
      <c r="D7" s="224" t="s">
        <v>1954</v>
      </c>
      <c r="E7" s="224"/>
      <c r="F7" s="72" t="s">
        <v>1142</v>
      </c>
      <c r="G7" s="224" t="s">
        <v>907</v>
      </c>
      <c r="H7" s="224"/>
      <c r="I7" s="72"/>
      <c r="J7" s="224" t="s">
        <v>909</v>
      </c>
      <c r="K7" s="224"/>
      <c r="L7" s="72"/>
      <c r="M7" s="224" t="s">
        <v>1955</v>
      </c>
      <c r="N7" s="224"/>
      <c r="O7" s="531"/>
      <c r="P7" s="72" t="s">
        <v>1956</v>
      </c>
      <c r="Q7" s="532"/>
      <c r="R7" s="646"/>
      <c r="S7" s="543"/>
      <c r="T7" s="543"/>
      <c r="U7" s="543"/>
      <c r="V7" s="543"/>
      <c r="W7" s="543"/>
      <c r="X7" s="667"/>
      <c r="Y7" s="667"/>
      <c r="Z7" s="675"/>
      <c r="AA7" s="644"/>
      <c r="AB7" s="530"/>
      <c r="AC7" s="527" t="s">
        <v>1888</v>
      </c>
      <c r="AD7" s="531"/>
      <c r="AE7" s="531"/>
      <c r="AF7" s="531"/>
      <c r="AG7" s="531"/>
      <c r="AH7" s="531"/>
      <c r="AI7" s="531"/>
      <c r="AJ7" s="531"/>
      <c r="AK7" s="532"/>
      <c r="AR7" s="543"/>
      <c r="AS7" s="531"/>
      <c r="AT7" s="531"/>
      <c r="AU7" s="543"/>
      <c r="AV7" s="543"/>
      <c r="AW7" s="543"/>
      <c r="AX7" s="645"/>
      <c r="AY7" s="645"/>
      <c r="AZ7" s="645"/>
      <c r="BA7" s="645"/>
      <c r="BB7" s="645"/>
      <c r="BC7" s="645"/>
      <c r="BD7" s="530"/>
      <c r="BE7" s="531"/>
      <c r="BF7" s="531"/>
      <c r="BG7" s="531"/>
      <c r="BH7" s="531"/>
      <c r="BI7" s="531"/>
      <c r="BJ7" s="531"/>
      <c r="BK7" s="531"/>
      <c r="BL7" s="531"/>
      <c r="BM7" s="543"/>
      <c r="BN7" s="543"/>
      <c r="BO7" s="543"/>
      <c r="BP7" s="543"/>
      <c r="BQ7" s="531"/>
      <c r="BR7" s="531"/>
      <c r="BS7" s="543"/>
      <c r="BT7" s="531"/>
      <c r="BU7" s="531"/>
      <c r="BV7" s="543"/>
      <c r="BW7" s="543"/>
      <c r="BX7" s="644"/>
    </row>
    <row r="8">
      <c r="A8" s="513"/>
      <c r="B8" s="514" t="s">
        <v>1673</v>
      </c>
      <c r="C8" s="522">
        <v>0.867</v>
      </c>
      <c r="D8" s="224" t="s">
        <v>1957</v>
      </c>
      <c r="E8" s="224"/>
      <c r="F8" s="72">
        <v>0.389</v>
      </c>
      <c r="G8" s="533" t="s">
        <v>1958</v>
      </c>
      <c r="H8" s="533"/>
      <c r="I8" s="72">
        <v>0.808</v>
      </c>
      <c r="J8" s="72" t="s">
        <v>1959</v>
      </c>
      <c r="K8" s="72"/>
      <c r="L8" s="72">
        <v>0.6635</v>
      </c>
      <c r="M8" s="533" t="s">
        <v>1960</v>
      </c>
      <c r="N8" s="533"/>
      <c r="O8" s="72">
        <v>0.892</v>
      </c>
      <c r="P8" s="72" t="s">
        <v>953</v>
      </c>
      <c r="Q8" s="540"/>
      <c r="R8" s="517">
        <v>0.467</v>
      </c>
      <c r="S8" s="224" t="s">
        <v>956</v>
      </c>
      <c r="T8" s="518"/>
      <c r="U8" s="518" t="s">
        <v>1961</v>
      </c>
      <c r="V8" s="518"/>
      <c r="W8" s="518"/>
      <c r="X8" s="666"/>
      <c r="Y8" s="666"/>
      <c r="Z8" s="520"/>
      <c r="AA8" s="521"/>
      <c r="AB8" s="522"/>
      <c r="AC8" s="72"/>
      <c r="AD8" s="72"/>
      <c r="AE8" s="72"/>
      <c r="AF8" s="72"/>
      <c r="AG8" s="72"/>
      <c r="AH8" s="72"/>
      <c r="AI8" s="72"/>
      <c r="AJ8" s="72"/>
      <c r="AK8" s="540"/>
      <c r="AL8" s="530" t="s">
        <v>245</v>
      </c>
      <c r="AM8" s="527" t="s">
        <v>965</v>
      </c>
      <c r="AN8" s="527" t="s">
        <v>966</v>
      </c>
      <c r="AO8" s="541" t="s">
        <v>1962</v>
      </c>
      <c r="AP8" s="531" t="s">
        <v>1963</v>
      </c>
      <c r="AQ8" s="72" t="s">
        <v>969</v>
      </c>
      <c r="AR8" s="518" t="s">
        <v>970</v>
      </c>
      <c r="AS8" s="72" t="s">
        <v>971</v>
      </c>
      <c r="AT8" s="531" t="s">
        <v>1964</v>
      </c>
      <c r="AU8" s="518"/>
      <c r="AV8" s="518"/>
      <c r="AW8" s="518"/>
      <c r="AX8" s="642"/>
      <c r="AY8" s="642"/>
      <c r="AZ8" s="642"/>
      <c r="BA8" s="642"/>
      <c r="BB8" s="642"/>
      <c r="BC8" s="642"/>
      <c r="BD8" s="522"/>
      <c r="BE8" s="72"/>
      <c r="BF8" s="72"/>
      <c r="BG8" s="72"/>
      <c r="BH8" s="72"/>
      <c r="BI8" s="72"/>
      <c r="BJ8" s="72"/>
      <c r="BK8" s="72"/>
      <c r="BL8" s="72"/>
      <c r="BM8" s="518"/>
      <c r="BN8" s="518"/>
      <c r="BO8" s="518"/>
      <c r="BP8" s="518"/>
      <c r="BQ8" s="72" t="s">
        <v>977</v>
      </c>
      <c r="BR8" s="72" t="s">
        <v>979</v>
      </c>
      <c r="BS8" s="518"/>
      <c r="BT8" s="72" t="s">
        <v>980</v>
      </c>
      <c r="BU8" s="72" t="s">
        <v>982</v>
      </c>
      <c r="BV8" s="518"/>
      <c r="BW8" s="518"/>
      <c r="BX8" s="521"/>
    </row>
    <row r="9">
      <c r="A9" s="513"/>
      <c r="B9" s="514" t="s">
        <v>261</v>
      </c>
      <c r="C9" s="25"/>
      <c r="D9" s="533" t="s">
        <v>985</v>
      </c>
      <c r="E9" s="533"/>
      <c r="F9" s="72" t="s">
        <v>1142</v>
      </c>
      <c r="G9" s="533" t="s">
        <v>987</v>
      </c>
      <c r="H9" s="533"/>
      <c r="I9" s="72">
        <v>0.727</v>
      </c>
      <c r="J9" s="72" t="s">
        <v>989</v>
      </c>
      <c r="K9" s="72"/>
      <c r="L9" s="72">
        <v>0.565</v>
      </c>
      <c r="M9" s="224" t="s">
        <v>991</v>
      </c>
      <c r="N9" s="224"/>
      <c r="O9" s="72">
        <v>0.705</v>
      </c>
      <c r="P9" s="72" t="s">
        <v>993</v>
      </c>
      <c r="Q9" s="540"/>
      <c r="R9" s="517"/>
      <c r="S9" s="518" t="s">
        <v>997</v>
      </c>
      <c r="T9" s="518"/>
      <c r="U9" s="518" t="s">
        <v>1965</v>
      </c>
      <c r="V9" s="518"/>
      <c r="W9" s="518" t="s">
        <v>998</v>
      </c>
      <c r="X9" s="666"/>
      <c r="Y9" s="666" t="s">
        <v>999</v>
      </c>
      <c r="Z9" s="520"/>
      <c r="AA9" s="521" t="s">
        <v>1000</v>
      </c>
      <c r="AB9" s="517">
        <v>0.146</v>
      </c>
      <c r="AC9" s="72" t="s">
        <v>1001</v>
      </c>
      <c r="AD9" s="72"/>
      <c r="AE9" s="72" t="s">
        <v>1002</v>
      </c>
      <c r="AF9" s="72"/>
      <c r="AG9" s="72" t="s">
        <v>1003</v>
      </c>
      <c r="AH9" s="72"/>
      <c r="AI9" s="72" t="s">
        <v>1004</v>
      </c>
      <c r="AJ9" s="72"/>
      <c r="AK9" s="540" t="s">
        <v>1005</v>
      </c>
      <c r="AL9" s="522"/>
      <c r="AM9" s="72"/>
      <c r="AN9" s="72"/>
      <c r="AO9" s="72"/>
      <c r="AP9" s="72"/>
      <c r="AQ9" s="72"/>
      <c r="AR9" s="518"/>
      <c r="AS9" s="72"/>
      <c r="AT9" s="72"/>
      <c r="AU9" s="518"/>
      <c r="AV9" s="518"/>
      <c r="AW9" s="518"/>
      <c r="AX9" s="642"/>
      <c r="AY9" s="642"/>
      <c r="AZ9" s="642"/>
      <c r="BA9" s="642"/>
      <c r="BB9" s="642"/>
      <c r="BC9" s="642"/>
      <c r="BD9" s="522"/>
      <c r="BE9" s="72"/>
      <c r="BF9" s="72"/>
      <c r="BG9" s="72"/>
      <c r="BH9" s="72"/>
      <c r="BI9" s="72"/>
      <c r="BJ9" s="72"/>
      <c r="BK9" s="72"/>
      <c r="BL9" s="72"/>
      <c r="BM9" s="518"/>
      <c r="BN9" s="518"/>
      <c r="BO9" s="518"/>
      <c r="BP9" s="518"/>
      <c r="BQ9" s="72"/>
      <c r="BR9" s="72"/>
      <c r="BS9" s="518"/>
      <c r="BT9" s="72"/>
      <c r="BU9" s="72"/>
      <c r="BV9" s="518"/>
      <c r="BW9" s="518"/>
      <c r="BX9" s="521"/>
    </row>
    <row r="10">
      <c r="A10" s="513"/>
      <c r="B10" s="514" t="s">
        <v>1678</v>
      </c>
      <c r="C10" s="25"/>
      <c r="D10" s="533" t="s">
        <v>1679</v>
      </c>
      <c r="E10" s="533"/>
      <c r="F10" s="72" t="s">
        <v>1142</v>
      </c>
      <c r="G10" s="533" t="s">
        <v>1680</v>
      </c>
      <c r="H10" s="533"/>
      <c r="I10" s="72"/>
      <c r="J10" s="72" t="s">
        <v>1966</v>
      </c>
      <c r="K10" s="72"/>
      <c r="L10" s="72"/>
      <c r="M10" s="224" t="s">
        <v>1681</v>
      </c>
      <c r="N10" s="224"/>
      <c r="O10" s="26"/>
      <c r="P10" s="72" t="s">
        <v>1682</v>
      </c>
      <c r="Q10" s="540"/>
      <c r="R10" s="517">
        <v>0.344</v>
      </c>
      <c r="S10" s="591"/>
      <c r="T10" s="591"/>
      <c r="U10" s="591"/>
      <c r="V10" s="591"/>
      <c r="W10" s="591"/>
      <c r="X10" s="668"/>
      <c r="Y10" s="668"/>
      <c r="Z10" s="648"/>
      <c r="AA10" s="649"/>
      <c r="AB10" s="25"/>
      <c r="AC10" s="26"/>
      <c r="AD10" s="26"/>
      <c r="AE10" s="26"/>
      <c r="AF10" s="26"/>
      <c r="AG10" s="26"/>
      <c r="AH10" s="26"/>
      <c r="AI10" s="26"/>
      <c r="AJ10" s="26"/>
      <c r="AK10" s="540"/>
      <c r="AL10" s="522" t="s">
        <v>1684</v>
      </c>
      <c r="AM10" s="72" t="s">
        <v>1685</v>
      </c>
      <c r="AN10" s="72" t="s">
        <v>1686</v>
      </c>
      <c r="AO10" s="72" t="s">
        <v>1687</v>
      </c>
      <c r="AP10" s="72" t="s">
        <v>1688</v>
      </c>
      <c r="AQ10" s="72" t="s">
        <v>1689</v>
      </c>
      <c r="AR10" s="518">
        <v>0.611</v>
      </c>
      <c r="AS10" s="72" t="s">
        <v>1690</v>
      </c>
      <c r="AT10" s="72" t="s">
        <v>1691</v>
      </c>
      <c r="AU10" s="591"/>
      <c r="AV10" s="591"/>
      <c r="AW10" s="591"/>
      <c r="AX10" s="650"/>
      <c r="AY10" s="650"/>
      <c r="AZ10" s="650"/>
      <c r="BA10" s="650"/>
      <c r="BB10" s="650"/>
      <c r="BC10" s="650"/>
      <c r="BD10" s="25"/>
      <c r="BE10" s="26"/>
      <c r="BF10" s="26"/>
      <c r="BG10" s="26"/>
      <c r="BH10" s="26"/>
      <c r="BI10" s="26"/>
      <c r="BJ10" s="26"/>
      <c r="BK10" s="26"/>
      <c r="BL10" s="26"/>
      <c r="BM10" s="591"/>
      <c r="BN10" s="591"/>
      <c r="BO10" s="591"/>
      <c r="BP10" s="591"/>
      <c r="BQ10" s="72" t="s">
        <v>1692</v>
      </c>
      <c r="BR10" s="72" t="s">
        <v>1693</v>
      </c>
      <c r="BS10" s="518"/>
      <c r="BT10" s="72" t="s">
        <v>1694</v>
      </c>
      <c r="BU10" s="72" t="s">
        <v>1695</v>
      </c>
      <c r="BV10" s="591"/>
      <c r="BW10" s="591"/>
      <c r="BX10" s="649"/>
    </row>
    <row r="11">
      <c r="A11" s="513"/>
      <c r="B11" s="514" t="s">
        <v>305</v>
      </c>
      <c r="C11" s="530">
        <v>0.932</v>
      </c>
      <c r="D11" s="224" t="s">
        <v>1967</v>
      </c>
      <c r="E11" s="484"/>
      <c r="F11" s="72">
        <v>0.583</v>
      </c>
      <c r="G11" s="533" t="s">
        <v>1968</v>
      </c>
      <c r="H11" s="533"/>
      <c r="I11" s="531">
        <v>0.835</v>
      </c>
      <c r="J11" s="531" t="s">
        <v>1969</v>
      </c>
      <c r="K11" s="531"/>
      <c r="L11" s="531">
        <v>0.704</v>
      </c>
      <c r="M11" s="484" t="s">
        <v>1970</v>
      </c>
      <c r="N11" s="484"/>
      <c r="O11" s="72">
        <v>0.841</v>
      </c>
      <c r="P11" s="72" t="s">
        <v>1971</v>
      </c>
      <c r="Q11" s="540"/>
      <c r="R11" s="517">
        <v>0.591</v>
      </c>
      <c r="S11" s="543" t="s">
        <v>1972</v>
      </c>
      <c r="T11" s="518">
        <v>0.004</v>
      </c>
      <c r="U11" s="518" t="s">
        <v>1973</v>
      </c>
      <c r="V11" s="518"/>
      <c r="W11" s="518"/>
      <c r="X11" s="666"/>
      <c r="Y11" s="666"/>
      <c r="Z11" s="520"/>
      <c r="AA11" s="521" t="s">
        <v>1974</v>
      </c>
      <c r="AB11" s="522"/>
      <c r="AC11" s="531" t="s">
        <v>1895</v>
      </c>
      <c r="AD11" s="72"/>
      <c r="AE11" s="531" t="s">
        <v>1040</v>
      </c>
      <c r="AF11" s="72"/>
      <c r="AG11" s="531" t="s">
        <v>1975</v>
      </c>
      <c r="AH11" s="72"/>
      <c r="AI11" s="531" t="s">
        <v>1042</v>
      </c>
      <c r="AJ11" s="72"/>
      <c r="AK11" s="146" t="s">
        <v>1976</v>
      </c>
      <c r="AL11" s="72">
        <v>0.885</v>
      </c>
      <c r="AM11" s="531" t="s">
        <v>1977</v>
      </c>
      <c r="AN11" s="531" t="s">
        <v>1045</v>
      </c>
      <c r="AO11" s="72">
        <v>0.916</v>
      </c>
      <c r="AP11" s="72" t="s">
        <v>1046</v>
      </c>
      <c r="AQ11" s="72" t="s">
        <v>1898</v>
      </c>
      <c r="AR11" s="518">
        <v>1.0</v>
      </c>
      <c r="AS11" s="531" t="s">
        <v>1978</v>
      </c>
      <c r="AT11" s="72" t="s">
        <v>1049</v>
      </c>
      <c r="AU11" s="518"/>
      <c r="AV11" s="518"/>
      <c r="AW11" s="518"/>
      <c r="AX11" s="642"/>
      <c r="AY11" s="642"/>
      <c r="AZ11" s="642"/>
      <c r="BA11" s="642"/>
      <c r="BB11" s="642"/>
      <c r="BC11" s="642"/>
      <c r="BD11" s="522"/>
      <c r="BE11" s="72"/>
      <c r="BF11" s="72"/>
      <c r="BG11" s="72"/>
      <c r="BH11" s="72"/>
      <c r="BI11" s="72"/>
      <c r="BJ11" s="72"/>
      <c r="BK11" s="72"/>
      <c r="BL11" s="72"/>
      <c r="BM11" s="518"/>
      <c r="BN11" s="658"/>
      <c r="BO11" s="518"/>
      <c r="BP11" s="518"/>
      <c r="BQ11" s="484" t="s">
        <v>1979</v>
      </c>
      <c r="BR11" s="531" t="s">
        <v>1901</v>
      </c>
      <c r="BS11" s="518"/>
      <c r="BT11" s="531" t="s">
        <v>1057</v>
      </c>
      <c r="BU11" s="531" t="s">
        <v>1059</v>
      </c>
      <c r="BV11" s="518"/>
      <c r="BW11" s="518"/>
      <c r="BX11" s="521"/>
    </row>
    <row r="12">
      <c r="A12" s="513"/>
      <c r="B12" s="514" t="s">
        <v>345</v>
      </c>
      <c r="C12" s="530"/>
      <c r="D12" s="224" t="s">
        <v>1062</v>
      </c>
      <c r="E12" s="484"/>
      <c r="F12" s="72"/>
      <c r="G12" s="533" t="s">
        <v>1064</v>
      </c>
      <c r="H12" s="533"/>
      <c r="I12" s="531"/>
      <c r="J12" s="531" t="s">
        <v>1980</v>
      </c>
      <c r="K12" s="531"/>
      <c r="L12" s="531"/>
      <c r="M12" s="484" t="s">
        <v>1981</v>
      </c>
      <c r="N12" s="484"/>
      <c r="O12" s="72"/>
      <c r="P12" s="72" t="s">
        <v>1070</v>
      </c>
      <c r="Q12" s="540"/>
      <c r="R12" s="517"/>
      <c r="S12" s="518"/>
      <c r="T12" s="518"/>
      <c r="U12" s="518"/>
      <c r="V12" s="518"/>
      <c r="W12" s="518"/>
      <c r="X12" s="666"/>
      <c r="Y12" s="666"/>
      <c r="Z12" s="520"/>
      <c r="AA12" s="521"/>
      <c r="AB12" s="522"/>
      <c r="AC12" s="531"/>
      <c r="AD12" s="72"/>
      <c r="AE12" s="531"/>
      <c r="AF12" s="72"/>
      <c r="AG12" s="531"/>
      <c r="AH12" s="72"/>
      <c r="AI12" s="531"/>
      <c r="AJ12" s="72"/>
      <c r="AK12" s="146"/>
      <c r="AL12" s="72"/>
      <c r="AM12" s="531"/>
      <c r="AN12" s="531"/>
      <c r="AO12" s="72"/>
      <c r="AP12" s="72"/>
      <c r="AQ12" s="72"/>
      <c r="AR12" s="518"/>
      <c r="AS12" s="531"/>
      <c r="AT12" s="72"/>
      <c r="AU12" s="518"/>
      <c r="AV12" s="518"/>
      <c r="AW12" s="518"/>
      <c r="AX12" s="642"/>
      <c r="AY12" s="642"/>
      <c r="AZ12" s="642"/>
      <c r="BA12" s="642"/>
      <c r="BB12" s="642"/>
      <c r="BC12" s="642"/>
      <c r="BD12" s="522"/>
      <c r="BE12" s="72"/>
      <c r="BF12" s="72"/>
      <c r="BG12" s="72"/>
      <c r="BH12" s="72"/>
      <c r="BI12" s="72"/>
      <c r="BJ12" s="72"/>
      <c r="BK12" s="72"/>
      <c r="BL12" s="72"/>
      <c r="BM12" s="518"/>
      <c r="BN12" s="658"/>
      <c r="BO12" s="518"/>
      <c r="BP12" s="518"/>
      <c r="BQ12" s="484"/>
      <c r="BR12" s="531"/>
      <c r="BS12" s="518"/>
      <c r="BT12" s="531"/>
      <c r="BU12" s="531"/>
      <c r="BV12" s="518"/>
      <c r="BW12" s="518"/>
      <c r="BX12" s="521"/>
    </row>
    <row r="13" hidden="1">
      <c r="A13" s="513"/>
      <c r="B13" s="514" t="s">
        <v>1709</v>
      </c>
      <c r="C13" s="530"/>
      <c r="D13" s="224"/>
      <c r="E13" s="484"/>
      <c r="F13" s="72"/>
      <c r="G13" s="533"/>
      <c r="H13" s="533"/>
      <c r="I13" s="531"/>
      <c r="J13" s="531"/>
      <c r="K13" s="531"/>
      <c r="L13" s="531"/>
      <c r="M13" s="224" t="s">
        <v>1107</v>
      </c>
      <c r="N13" s="484"/>
      <c r="O13" s="72"/>
      <c r="P13" s="531" t="s">
        <v>1710</v>
      </c>
      <c r="Q13" s="540" t="s">
        <v>1110</v>
      </c>
      <c r="R13" s="517"/>
      <c r="S13" s="518"/>
      <c r="T13" s="518"/>
      <c r="U13" s="518"/>
      <c r="V13" s="518"/>
      <c r="W13" s="518"/>
      <c r="X13" s="666"/>
      <c r="Y13" s="666"/>
      <c r="Z13" s="520"/>
      <c r="AA13" s="521"/>
      <c r="AB13" s="522"/>
      <c r="AC13" s="531"/>
      <c r="AD13" s="72"/>
      <c r="AE13" s="531"/>
      <c r="AF13" s="72"/>
      <c r="AG13" s="531"/>
      <c r="AH13" s="72"/>
      <c r="AI13" s="531"/>
      <c r="AJ13" s="72"/>
      <c r="AK13" s="146"/>
      <c r="AL13" s="72"/>
      <c r="AM13" s="531"/>
      <c r="AN13" s="531"/>
      <c r="AO13" s="531"/>
      <c r="AP13" s="72"/>
      <c r="AQ13" s="72"/>
      <c r="AR13" s="518"/>
      <c r="AS13" s="531"/>
      <c r="AT13" s="72"/>
      <c r="AU13" s="518"/>
      <c r="AV13" s="518"/>
      <c r="AW13" s="518"/>
      <c r="AX13" s="642"/>
      <c r="AY13" s="642"/>
      <c r="AZ13" s="642"/>
      <c r="BA13" s="642"/>
      <c r="BB13" s="642"/>
      <c r="BC13" s="642"/>
      <c r="BD13" s="522"/>
      <c r="BE13" s="72"/>
      <c r="BF13" s="72"/>
      <c r="BG13" s="72"/>
      <c r="BH13" s="72"/>
      <c r="BI13" s="72"/>
      <c r="BJ13" s="72"/>
      <c r="BK13" s="72"/>
      <c r="BL13" s="72"/>
      <c r="BM13" s="518"/>
      <c r="BN13" s="658"/>
      <c r="BO13" s="518"/>
      <c r="BP13" s="518"/>
      <c r="BQ13" s="484"/>
      <c r="BR13" s="531"/>
      <c r="BS13" s="518"/>
      <c r="BT13" s="531"/>
      <c r="BU13" s="531"/>
      <c r="BV13" s="518"/>
      <c r="BW13" s="518"/>
      <c r="BX13" s="521"/>
    </row>
    <row r="14">
      <c r="A14" s="560"/>
      <c r="B14" s="514" t="s">
        <v>377</v>
      </c>
      <c r="C14" s="562">
        <v>0.764</v>
      </c>
      <c r="D14" s="492" t="s">
        <v>1982</v>
      </c>
      <c r="E14" s="224"/>
      <c r="F14" s="72" t="s">
        <v>1142</v>
      </c>
      <c r="G14" s="492" t="s">
        <v>1983</v>
      </c>
      <c r="H14" s="676"/>
      <c r="I14" s="563">
        <v>0.664</v>
      </c>
      <c r="J14" s="563" t="s">
        <v>1984</v>
      </c>
      <c r="K14" s="563"/>
      <c r="L14" s="563">
        <v>0.573</v>
      </c>
      <c r="M14" s="669" t="s">
        <v>1107</v>
      </c>
      <c r="N14" s="669"/>
      <c r="O14" s="563">
        <v>0.841</v>
      </c>
      <c r="P14" s="565" t="s">
        <v>1985</v>
      </c>
      <c r="Q14" s="677"/>
      <c r="R14" s="567">
        <v>0.611</v>
      </c>
      <c r="S14" s="568" t="s">
        <v>1113</v>
      </c>
      <c r="T14" s="568">
        <v>0.004</v>
      </c>
      <c r="U14" s="568" t="s">
        <v>1986</v>
      </c>
      <c r="V14" s="568"/>
      <c r="W14" s="568"/>
      <c r="X14" s="670"/>
      <c r="Y14" s="670"/>
      <c r="Z14" s="571"/>
      <c r="AA14" s="572" t="s">
        <v>1987</v>
      </c>
      <c r="AB14" s="562"/>
      <c r="AC14" s="563" t="s">
        <v>1118</v>
      </c>
      <c r="AD14" s="563"/>
      <c r="AE14" s="563" t="s">
        <v>1119</v>
      </c>
      <c r="AF14" s="563"/>
      <c r="AG14" s="563" t="s">
        <v>1988</v>
      </c>
      <c r="AH14" s="563"/>
      <c r="AI14" s="563" t="s">
        <v>1121</v>
      </c>
      <c r="AJ14" s="563"/>
      <c r="AK14" s="573" t="s">
        <v>1083</v>
      </c>
      <c r="AL14" s="562" t="s">
        <v>1907</v>
      </c>
      <c r="AM14" s="563" t="s">
        <v>1989</v>
      </c>
      <c r="AN14" s="563" t="s">
        <v>1123</v>
      </c>
      <c r="AO14" s="563" t="s">
        <v>1990</v>
      </c>
      <c r="AP14" s="563" t="s">
        <v>1124</v>
      </c>
      <c r="AQ14" s="563" t="s">
        <v>1125</v>
      </c>
      <c r="AR14" s="568"/>
      <c r="AS14" s="563" t="s">
        <v>1991</v>
      </c>
      <c r="AT14" s="563" t="s">
        <v>1992</v>
      </c>
      <c r="AU14" s="568"/>
      <c r="AV14" s="568"/>
      <c r="AW14" s="568"/>
      <c r="AX14" s="653"/>
      <c r="AY14" s="653"/>
      <c r="AZ14" s="653"/>
      <c r="BA14" s="653"/>
      <c r="BB14" s="653"/>
      <c r="BC14" s="653"/>
      <c r="BD14" s="562"/>
      <c r="BE14" s="563"/>
      <c r="BF14" s="563"/>
      <c r="BG14" s="563"/>
      <c r="BH14" s="563"/>
      <c r="BI14" s="563"/>
      <c r="BJ14" s="563"/>
      <c r="BK14" s="563"/>
      <c r="BL14" s="563"/>
      <c r="BM14" s="568"/>
      <c r="BN14" s="568"/>
      <c r="BO14" s="568"/>
      <c r="BP14" s="568"/>
      <c r="BQ14" s="563" t="s">
        <v>1993</v>
      </c>
      <c r="BR14" s="563" t="s">
        <v>1913</v>
      </c>
      <c r="BS14" s="568"/>
      <c r="BT14" s="563" t="s">
        <v>1135</v>
      </c>
      <c r="BU14" s="563" t="s">
        <v>1914</v>
      </c>
      <c r="BV14" s="568"/>
      <c r="BW14" s="568"/>
      <c r="BX14" s="572"/>
    </row>
    <row r="15">
      <c r="A15" s="496" t="s">
        <v>1915</v>
      </c>
      <c r="B15" s="496" t="s">
        <v>1140</v>
      </c>
      <c r="C15" s="505">
        <v>0.832</v>
      </c>
      <c r="D15" s="486" t="s">
        <v>1141</v>
      </c>
      <c r="E15" s="486"/>
      <c r="F15" s="457" t="s">
        <v>1142</v>
      </c>
      <c r="G15" s="486" t="s">
        <v>1143</v>
      </c>
      <c r="H15" s="486"/>
      <c r="I15" s="457">
        <v>0.679</v>
      </c>
      <c r="J15" s="486" t="s">
        <v>1144</v>
      </c>
      <c r="K15" s="486"/>
      <c r="L15" s="457">
        <v>0.462</v>
      </c>
      <c r="M15" s="486" t="s">
        <v>1145</v>
      </c>
      <c r="N15" s="486"/>
      <c r="O15" s="580">
        <v>0.914</v>
      </c>
      <c r="P15" s="457" t="s">
        <v>1146</v>
      </c>
      <c r="Q15" s="506"/>
      <c r="R15" s="581">
        <v>0.403</v>
      </c>
      <c r="S15" s="507" t="s">
        <v>1147</v>
      </c>
      <c r="T15" s="582"/>
      <c r="U15" s="507" t="s">
        <v>1148</v>
      </c>
      <c r="V15" s="582"/>
      <c r="W15" s="583" t="s">
        <v>1149</v>
      </c>
      <c r="X15" s="671"/>
      <c r="Y15" s="672" t="s">
        <v>1150</v>
      </c>
      <c r="Z15" s="584"/>
      <c r="AA15" s="490" t="s">
        <v>1151</v>
      </c>
      <c r="AB15" s="586"/>
      <c r="AC15" s="587" t="s">
        <v>1152</v>
      </c>
      <c r="AD15" s="580"/>
      <c r="AE15" s="580"/>
      <c r="AF15" s="580"/>
      <c r="AG15" s="580"/>
      <c r="AH15" s="580"/>
      <c r="AI15" s="580"/>
      <c r="AJ15" s="580"/>
      <c r="AL15" s="505" t="s">
        <v>1153</v>
      </c>
      <c r="AM15" s="224" t="s">
        <v>1154</v>
      </c>
      <c r="AN15" s="457" t="s">
        <v>1155</v>
      </c>
      <c r="AO15" s="587" t="s">
        <v>1156</v>
      </c>
      <c r="AP15" s="587" t="s">
        <v>1157</v>
      </c>
      <c r="AQ15" s="587" t="s">
        <v>1158</v>
      </c>
      <c r="AR15" s="582">
        <v>1.0</v>
      </c>
      <c r="AS15" s="587" t="s">
        <v>1159</v>
      </c>
      <c r="AT15" s="587" t="s">
        <v>1160</v>
      </c>
      <c r="AU15" s="582"/>
      <c r="AV15" s="583"/>
      <c r="AW15" s="583"/>
      <c r="AX15" s="655"/>
      <c r="AY15" s="655"/>
      <c r="AZ15" s="637"/>
      <c r="BA15" s="637"/>
      <c r="BB15" s="637"/>
      <c r="BC15" s="637"/>
      <c r="BD15" s="656" t="s">
        <v>1716</v>
      </c>
      <c r="BE15" s="457" t="s">
        <v>1717</v>
      </c>
      <c r="BF15" s="457" t="s">
        <v>1718</v>
      </c>
      <c r="BG15" s="580"/>
      <c r="BH15" s="587"/>
      <c r="BI15" s="587"/>
      <c r="BJ15" s="580"/>
      <c r="BK15" s="587"/>
      <c r="BL15" s="587"/>
      <c r="BM15" s="583">
        <v>0.28</v>
      </c>
      <c r="BN15" s="583" t="s">
        <v>250</v>
      </c>
      <c r="BO15" s="583" t="s">
        <v>1161</v>
      </c>
      <c r="BP15" s="583" t="s">
        <v>1719</v>
      </c>
      <c r="BQ15" s="587" t="s">
        <v>1162</v>
      </c>
      <c r="BR15" s="587" t="s">
        <v>1163</v>
      </c>
      <c r="BS15" s="583"/>
      <c r="BT15" s="587" t="s">
        <v>1164</v>
      </c>
      <c r="BU15" s="587" t="s">
        <v>1165</v>
      </c>
      <c r="BV15" s="582"/>
      <c r="BW15" s="582"/>
      <c r="BX15" s="490"/>
    </row>
    <row r="16" hidden="1">
      <c r="A16" s="590"/>
      <c r="B16" s="514" t="s">
        <v>1166</v>
      </c>
      <c r="C16" s="522"/>
      <c r="D16" s="484"/>
      <c r="E16" s="484"/>
      <c r="F16" s="72"/>
      <c r="G16" s="484"/>
      <c r="H16" s="484"/>
      <c r="I16" s="72"/>
      <c r="J16" s="224"/>
      <c r="K16" s="224"/>
      <c r="L16" s="72"/>
      <c r="O16" s="72"/>
      <c r="P16" s="72"/>
      <c r="Q16" s="142"/>
      <c r="R16" s="517"/>
      <c r="S16" s="658"/>
      <c r="T16" s="518"/>
      <c r="U16" s="518"/>
      <c r="V16" s="518"/>
      <c r="W16" s="518"/>
      <c r="X16" s="666"/>
      <c r="Y16" s="673"/>
      <c r="Z16" s="520"/>
      <c r="AA16" s="658"/>
      <c r="AB16" s="522"/>
      <c r="AC16" s="72"/>
      <c r="AD16" s="72"/>
      <c r="AE16" s="72"/>
      <c r="AF16" s="72"/>
      <c r="AG16" s="72"/>
      <c r="AH16" s="72"/>
      <c r="AI16" s="72"/>
      <c r="AJ16" s="72"/>
      <c r="AK16" s="142"/>
      <c r="AL16" s="522"/>
      <c r="AO16" s="72"/>
      <c r="AP16" s="72"/>
      <c r="AQ16" s="72"/>
      <c r="AR16" s="518"/>
      <c r="AS16" s="72"/>
      <c r="AT16" s="72"/>
      <c r="AU16" s="518"/>
      <c r="AV16" s="658"/>
      <c r="AW16" s="658"/>
      <c r="AX16" s="642"/>
      <c r="AY16" s="642"/>
      <c r="AZ16" s="638"/>
      <c r="BA16" s="638"/>
      <c r="BB16" s="638"/>
      <c r="BC16" s="638"/>
      <c r="BD16" s="522"/>
      <c r="BG16" s="72"/>
      <c r="BH16" s="72"/>
      <c r="BI16" s="72"/>
      <c r="BJ16" s="72"/>
      <c r="BM16" s="658"/>
      <c r="BN16" s="658"/>
      <c r="BO16" s="658"/>
      <c r="BP16" s="658"/>
      <c r="BS16" s="658"/>
      <c r="BV16" s="518"/>
      <c r="BW16" s="518"/>
      <c r="BX16" s="658"/>
    </row>
    <row r="17">
      <c r="A17" s="590"/>
      <c r="B17" s="514" t="s">
        <v>1167</v>
      </c>
      <c r="C17" s="522"/>
      <c r="D17" s="533" t="s">
        <v>1168</v>
      </c>
      <c r="E17" s="533"/>
      <c r="F17" s="72"/>
      <c r="G17" s="533" t="s">
        <v>1169</v>
      </c>
      <c r="H17" s="533"/>
      <c r="I17" s="72"/>
      <c r="J17" s="224" t="s">
        <v>1170</v>
      </c>
      <c r="K17" s="224"/>
      <c r="L17" s="72"/>
      <c r="M17" s="224" t="s">
        <v>1171</v>
      </c>
      <c r="N17" s="224"/>
      <c r="O17" s="72"/>
      <c r="P17" s="72" t="s">
        <v>1172</v>
      </c>
      <c r="Q17" s="142"/>
      <c r="R17" s="517"/>
      <c r="S17" s="518" t="s">
        <v>1173</v>
      </c>
      <c r="T17" s="518"/>
      <c r="U17" s="518" t="s">
        <v>1174</v>
      </c>
      <c r="V17" s="518"/>
      <c r="W17" s="518"/>
      <c r="X17" s="666"/>
      <c r="Y17" s="666"/>
      <c r="Z17" s="520"/>
      <c r="AA17" s="521"/>
      <c r="AB17" s="522"/>
      <c r="AC17" s="72"/>
      <c r="AD17" s="72"/>
      <c r="AE17" s="72"/>
      <c r="AF17" s="72"/>
      <c r="AG17" s="72"/>
      <c r="AH17" s="72"/>
      <c r="AI17" s="72"/>
      <c r="AJ17" s="72"/>
      <c r="AK17" s="142"/>
      <c r="AL17" s="522"/>
      <c r="AM17" s="72"/>
      <c r="AN17" s="72"/>
      <c r="AO17" s="72"/>
      <c r="AP17" s="72"/>
      <c r="AQ17" s="72"/>
      <c r="AR17" s="518"/>
      <c r="AS17" s="72"/>
      <c r="AT17" s="72"/>
      <c r="AU17" s="518"/>
      <c r="AV17" s="518"/>
      <c r="AW17" s="518"/>
      <c r="AX17" s="642"/>
      <c r="AY17" s="642"/>
      <c r="AZ17" s="642"/>
      <c r="BA17" s="642"/>
      <c r="BB17" s="642"/>
      <c r="BC17" s="642"/>
      <c r="BD17" s="522"/>
      <c r="BE17" s="72"/>
      <c r="BF17" s="72"/>
      <c r="BG17" s="72"/>
      <c r="BH17" s="72"/>
      <c r="BI17" s="72"/>
      <c r="BJ17" s="72"/>
      <c r="BK17" s="72"/>
      <c r="BL17" s="72"/>
      <c r="BM17" s="518"/>
      <c r="BN17" s="518"/>
      <c r="BO17" s="518"/>
      <c r="BP17" s="518"/>
      <c r="BQ17" s="72"/>
      <c r="BR17" s="72"/>
      <c r="BS17" s="518"/>
      <c r="BT17" s="72"/>
      <c r="BU17" s="72"/>
      <c r="BV17" s="518"/>
      <c r="BW17" s="518"/>
      <c r="BX17" s="521"/>
    </row>
    <row r="18">
      <c r="A18" s="590"/>
      <c r="B18" s="514" t="s">
        <v>1175</v>
      </c>
      <c r="C18" s="522"/>
      <c r="D18" s="533" t="s">
        <v>1176</v>
      </c>
      <c r="E18" s="533"/>
      <c r="F18" s="72"/>
      <c r="G18" s="533" t="s">
        <v>1177</v>
      </c>
      <c r="H18" s="533"/>
      <c r="I18" s="72"/>
      <c r="J18" s="224" t="s">
        <v>1178</v>
      </c>
      <c r="K18" s="224"/>
      <c r="L18" s="72"/>
      <c r="M18" s="224" t="s">
        <v>1179</v>
      </c>
      <c r="N18" s="224"/>
      <c r="O18" s="72"/>
      <c r="P18" s="72" t="s">
        <v>1180</v>
      </c>
      <c r="Q18" s="142" t="s">
        <v>1181</v>
      </c>
      <c r="R18" s="517"/>
      <c r="S18" s="518"/>
      <c r="T18" s="518"/>
      <c r="U18" s="518"/>
      <c r="V18" s="518"/>
      <c r="W18" s="518"/>
      <c r="X18" s="666"/>
      <c r="Y18" s="666"/>
      <c r="Z18" s="520"/>
      <c r="AA18" s="521"/>
      <c r="AB18" s="522"/>
      <c r="AC18" s="72"/>
      <c r="AD18" s="72"/>
      <c r="AE18" s="72"/>
      <c r="AF18" s="72"/>
      <c r="AG18" s="72"/>
      <c r="AH18" s="72"/>
      <c r="AI18" s="72"/>
      <c r="AJ18" s="72"/>
      <c r="AK18" s="224"/>
      <c r="AL18" s="522"/>
      <c r="AM18" s="72"/>
      <c r="AN18" s="72"/>
      <c r="AO18" s="72"/>
      <c r="AP18" s="72"/>
      <c r="AQ18" s="72"/>
      <c r="AR18" s="518"/>
      <c r="AS18" s="72"/>
      <c r="AT18" s="72"/>
      <c r="AU18" s="518"/>
      <c r="AV18" s="518"/>
      <c r="AW18" s="518"/>
      <c r="AX18" s="642"/>
      <c r="AY18" s="642"/>
      <c r="AZ18" s="642"/>
      <c r="BA18" s="642"/>
      <c r="BB18" s="642"/>
      <c r="BC18" s="642"/>
      <c r="BD18" s="522"/>
      <c r="BE18" s="72"/>
      <c r="BF18" s="72"/>
      <c r="BG18" s="72"/>
      <c r="BH18" s="72"/>
      <c r="BI18" s="72"/>
      <c r="BJ18" s="72"/>
      <c r="BK18" s="72"/>
      <c r="BL18" s="72"/>
      <c r="BM18" s="518"/>
      <c r="BN18" s="518"/>
      <c r="BO18" s="518"/>
      <c r="BP18" s="518"/>
      <c r="BQ18" s="72"/>
      <c r="BR18" s="72"/>
      <c r="BS18" s="518"/>
      <c r="BT18" s="72"/>
      <c r="BU18" s="72"/>
      <c r="BV18" s="518"/>
      <c r="BW18" s="518"/>
      <c r="BX18" s="521"/>
    </row>
    <row r="19">
      <c r="A19" s="590"/>
      <c r="B19" s="514" t="s">
        <v>721</v>
      </c>
      <c r="C19" s="522"/>
      <c r="D19" s="533"/>
      <c r="E19" s="533"/>
      <c r="F19" s="72"/>
      <c r="G19" s="533"/>
      <c r="H19" s="533"/>
      <c r="I19" s="72"/>
      <c r="J19" s="224" t="s">
        <v>1994</v>
      </c>
      <c r="K19" s="224"/>
      <c r="L19" s="72"/>
      <c r="M19" s="224" t="s">
        <v>1995</v>
      </c>
      <c r="N19" s="224"/>
      <c r="O19" s="72"/>
      <c r="P19" s="72"/>
      <c r="Q19" s="142"/>
      <c r="R19" s="517"/>
      <c r="T19" s="518"/>
      <c r="V19" s="518"/>
      <c r="W19" s="518"/>
      <c r="X19" s="666"/>
      <c r="Y19" s="666"/>
      <c r="Z19" s="520"/>
      <c r="AB19" s="522"/>
      <c r="AD19" s="72"/>
      <c r="AF19" s="72"/>
      <c r="AH19" s="72"/>
      <c r="AI19" s="72"/>
      <c r="AJ19" s="72"/>
      <c r="AK19" s="224"/>
      <c r="AL19" s="522"/>
      <c r="AM19" s="72"/>
      <c r="AN19" s="72"/>
      <c r="AP19" s="72" t="s">
        <v>1996</v>
      </c>
      <c r="AQ19" s="72"/>
      <c r="AR19" s="518"/>
      <c r="AS19" s="72" t="s">
        <v>1997</v>
      </c>
      <c r="AT19" s="72" t="s">
        <v>1998</v>
      </c>
      <c r="AU19" s="518"/>
      <c r="AV19" s="518"/>
      <c r="AW19" s="518"/>
      <c r="AX19" s="642"/>
      <c r="AY19" s="642"/>
      <c r="AZ19" s="642"/>
      <c r="BA19" s="642"/>
      <c r="BB19" s="642"/>
      <c r="BC19" s="642"/>
      <c r="BD19" s="522"/>
      <c r="BE19" s="72"/>
      <c r="BF19" s="72"/>
      <c r="BG19" s="72"/>
      <c r="BH19" s="72"/>
      <c r="BI19" s="72"/>
      <c r="BJ19" s="72"/>
      <c r="BK19" s="72"/>
      <c r="BL19" s="72"/>
      <c r="BM19" s="518"/>
      <c r="BN19" s="518"/>
      <c r="BO19" s="518"/>
      <c r="BP19" s="518"/>
      <c r="BQ19" s="72" t="s">
        <v>1215</v>
      </c>
      <c r="BR19" s="72" t="s">
        <v>1217</v>
      </c>
      <c r="BS19" s="518"/>
      <c r="BT19" s="72" t="s">
        <v>1920</v>
      </c>
      <c r="BU19" s="72" t="s">
        <v>1220</v>
      </c>
      <c r="BV19" s="518"/>
      <c r="BW19" s="518"/>
      <c r="BX19" s="521"/>
    </row>
    <row r="20">
      <c r="A20" s="590"/>
      <c r="B20" s="514" t="s">
        <v>722</v>
      </c>
      <c r="C20" s="522"/>
      <c r="D20" s="533" t="s">
        <v>1999</v>
      </c>
      <c r="E20" s="533"/>
      <c r="F20" s="72"/>
      <c r="G20" s="533" t="s">
        <v>2000</v>
      </c>
      <c r="H20" s="533"/>
      <c r="I20" s="72"/>
      <c r="J20" s="224" t="s">
        <v>2001</v>
      </c>
      <c r="K20" s="224"/>
      <c r="L20" s="72"/>
      <c r="M20" s="224" t="s">
        <v>2002</v>
      </c>
      <c r="N20" s="224"/>
      <c r="O20" s="72"/>
      <c r="P20" s="72" t="s">
        <v>2003</v>
      </c>
      <c r="Q20" s="142"/>
      <c r="R20" s="517"/>
      <c r="S20" s="518"/>
      <c r="T20" s="518"/>
      <c r="U20" s="518" t="s">
        <v>2004</v>
      </c>
      <c r="V20" s="518"/>
      <c r="W20" s="518" t="s">
        <v>2005</v>
      </c>
      <c r="X20" s="666"/>
      <c r="Y20" s="666"/>
      <c r="Z20" s="520"/>
      <c r="AA20" s="521" t="s">
        <v>2006</v>
      </c>
      <c r="AB20" s="522"/>
      <c r="AC20" s="72"/>
      <c r="AD20" s="72"/>
      <c r="AE20" s="72"/>
      <c r="AF20" s="72"/>
      <c r="AG20" s="72"/>
      <c r="AH20" s="72"/>
      <c r="AI20" s="72"/>
      <c r="AJ20" s="72"/>
      <c r="AK20" s="224"/>
      <c r="AL20" s="522"/>
      <c r="AM20" s="72"/>
      <c r="AN20" s="72"/>
      <c r="AO20" s="72"/>
      <c r="AP20" s="72"/>
      <c r="AQ20" s="72"/>
      <c r="AR20" s="518"/>
      <c r="AS20" s="72"/>
      <c r="AT20" s="72"/>
      <c r="AU20" s="518"/>
      <c r="AV20" s="518"/>
      <c r="AW20" s="518"/>
      <c r="AX20" s="642"/>
      <c r="AY20" s="642"/>
      <c r="AZ20" s="642"/>
      <c r="BA20" s="642"/>
      <c r="BB20" s="642"/>
      <c r="BC20" s="642"/>
      <c r="BD20" s="522"/>
      <c r="BE20" s="72"/>
      <c r="BF20" s="72"/>
      <c r="BG20" s="72"/>
      <c r="BH20" s="72"/>
      <c r="BI20" s="72"/>
      <c r="BJ20" s="72"/>
      <c r="BK20" s="72"/>
      <c r="BL20" s="72"/>
      <c r="BM20" s="518"/>
      <c r="BN20" s="518"/>
      <c r="BO20" s="518"/>
      <c r="BP20" s="518"/>
      <c r="BQ20" s="72"/>
      <c r="BR20" s="72"/>
      <c r="BS20" s="518"/>
      <c r="BT20" s="72"/>
      <c r="BU20" s="72"/>
      <c r="BV20" s="518"/>
      <c r="BW20" s="518"/>
      <c r="BX20" s="521"/>
    </row>
    <row r="21">
      <c r="A21" s="590"/>
      <c r="B21" s="514" t="s">
        <v>414</v>
      </c>
      <c r="C21" s="522"/>
      <c r="D21" s="533" t="s">
        <v>1265</v>
      </c>
      <c r="E21" s="533"/>
      <c r="F21" s="72"/>
      <c r="G21" s="533" t="s">
        <v>2007</v>
      </c>
      <c r="H21" s="533"/>
      <c r="I21" s="72"/>
      <c r="J21" s="224" t="s">
        <v>2008</v>
      </c>
      <c r="K21" s="224"/>
      <c r="L21" s="72"/>
      <c r="M21" s="224" t="s">
        <v>2009</v>
      </c>
      <c r="N21" s="224"/>
      <c r="O21" s="72"/>
      <c r="P21" s="72" t="s">
        <v>2010</v>
      </c>
      <c r="Q21" s="142"/>
      <c r="R21" s="517"/>
      <c r="S21" s="518"/>
      <c r="T21" s="518"/>
      <c r="U21" s="518"/>
      <c r="V21" s="518"/>
      <c r="W21" s="518"/>
      <c r="X21" s="666"/>
      <c r="Y21" s="666"/>
      <c r="Z21" s="520"/>
      <c r="AA21" s="521"/>
      <c r="AB21" s="522"/>
      <c r="AC21" s="72"/>
      <c r="AD21" s="72"/>
      <c r="AE21" s="72"/>
      <c r="AF21" s="72"/>
      <c r="AG21" s="72"/>
      <c r="AH21" s="72"/>
      <c r="AI21" s="72"/>
      <c r="AJ21" s="72"/>
      <c r="AK21" s="224"/>
      <c r="AL21" s="522"/>
      <c r="AM21" s="72" t="s">
        <v>2011</v>
      </c>
      <c r="AN21" s="72"/>
      <c r="AO21" s="72"/>
      <c r="AP21" s="72"/>
      <c r="AQ21" s="72"/>
      <c r="AR21" s="518"/>
      <c r="AS21" s="72" t="s">
        <v>2012</v>
      </c>
      <c r="AT21" s="72"/>
      <c r="AU21" s="518"/>
      <c r="AV21" s="518"/>
      <c r="AW21" s="518"/>
      <c r="AX21" s="642"/>
      <c r="AY21" s="642"/>
      <c r="AZ21" s="642"/>
      <c r="BA21" s="642"/>
      <c r="BB21" s="642"/>
      <c r="BC21" s="642"/>
      <c r="BD21" s="522"/>
      <c r="BE21" s="72"/>
      <c r="BF21" s="72"/>
      <c r="BG21" s="72"/>
      <c r="BH21" s="72"/>
      <c r="BI21" s="72"/>
      <c r="BJ21" s="72"/>
      <c r="BK21" s="72"/>
      <c r="BL21" s="72"/>
      <c r="BM21" s="518"/>
      <c r="BN21" s="518"/>
      <c r="BO21" s="518"/>
      <c r="BP21" s="518"/>
      <c r="BQ21" s="72"/>
      <c r="BR21" s="72"/>
      <c r="BS21" s="518"/>
      <c r="BT21" s="72"/>
      <c r="BU21" s="72"/>
      <c r="BV21" s="518"/>
      <c r="BW21" s="518"/>
      <c r="BX21" s="521"/>
    </row>
    <row r="22">
      <c r="A22" s="590"/>
      <c r="B22" s="514" t="s">
        <v>2013</v>
      </c>
      <c r="C22" s="522"/>
      <c r="D22" s="533" t="s">
        <v>2014</v>
      </c>
      <c r="E22" s="533"/>
      <c r="F22" s="72"/>
      <c r="G22" s="533" t="s">
        <v>2015</v>
      </c>
      <c r="H22" s="533"/>
      <c r="I22" s="72"/>
      <c r="J22" s="224" t="s">
        <v>2016</v>
      </c>
      <c r="K22" s="224"/>
      <c r="L22" s="72"/>
      <c r="M22" s="224" t="s">
        <v>2017</v>
      </c>
      <c r="N22" s="224"/>
      <c r="O22" s="72"/>
      <c r="P22" s="72" t="s">
        <v>2018</v>
      </c>
      <c r="Q22" s="142"/>
      <c r="R22" s="517"/>
      <c r="S22" s="518"/>
      <c r="T22" s="518"/>
      <c r="U22" s="518"/>
      <c r="V22" s="518"/>
      <c r="W22" s="518"/>
      <c r="X22" s="666"/>
      <c r="Y22" s="666"/>
      <c r="Z22" s="520"/>
      <c r="AA22" s="521"/>
      <c r="AB22" s="522"/>
      <c r="AC22" s="72"/>
      <c r="AD22" s="72"/>
      <c r="AE22" s="72"/>
      <c r="AF22" s="72"/>
      <c r="AG22" s="72"/>
      <c r="AH22" s="72"/>
      <c r="AI22" s="72"/>
      <c r="AJ22" s="72"/>
      <c r="AK22" s="224"/>
      <c r="AL22" s="522"/>
      <c r="AM22" s="72"/>
      <c r="AN22" s="72"/>
      <c r="AO22" s="72"/>
      <c r="AP22" s="72"/>
      <c r="AQ22" s="72"/>
      <c r="AR22" s="518"/>
      <c r="AS22" s="72"/>
      <c r="AT22" s="72"/>
      <c r="AU22" s="518"/>
      <c r="AV22" s="518"/>
      <c r="AW22" s="518"/>
      <c r="AX22" s="642"/>
      <c r="AY22" s="642"/>
      <c r="AZ22" s="642"/>
      <c r="BA22" s="642"/>
      <c r="BB22" s="642"/>
      <c r="BC22" s="642"/>
      <c r="BD22" s="522"/>
      <c r="BE22" s="72"/>
      <c r="BF22" s="72"/>
      <c r="BG22" s="72"/>
      <c r="BH22" s="72"/>
      <c r="BI22" s="72"/>
      <c r="BJ22" s="72"/>
      <c r="BK22" s="72"/>
      <c r="BL22" s="72"/>
      <c r="BM22" s="518"/>
      <c r="BN22" s="518"/>
      <c r="BO22" s="518"/>
      <c r="BP22" s="518"/>
      <c r="BQ22" s="72"/>
      <c r="BR22" s="72"/>
      <c r="BS22" s="518"/>
      <c r="BT22" s="72"/>
      <c r="BU22" s="72"/>
      <c r="BV22" s="518"/>
      <c r="BW22" s="518"/>
      <c r="BX22" s="521"/>
    </row>
    <row r="23">
      <c r="A23" s="590"/>
      <c r="B23" s="514" t="s">
        <v>1735</v>
      </c>
      <c r="C23" s="522"/>
      <c r="D23" s="533" t="s">
        <v>1736</v>
      </c>
      <c r="E23" s="533"/>
      <c r="F23" s="72"/>
      <c r="G23" s="533" t="s">
        <v>1184</v>
      </c>
      <c r="H23" s="533"/>
      <c r="I23" s="72"/>
      <c r="J23" s="224" t="s">
        <v>1737</v>
      </c>
      <c r="K23" s="224"/>
      <c r="L23" s="72"/>
      <c r="M23" s="224" t="s">
        <v>1738</v>
      </c>
      <c r="N23" s="224"/>
      <c r="O23" s="72"/>
      <c r="P23" s="72" t="s">
        <v>1739</v>
      </c>
      <c r="Q23" s="142"/>
      <c r="R23" s="517"/>
      <c r="S23" s="518"/>
      <c r="T23" s="518"/>
      <c r="U23" s="518" t="s">
        <v>1740</v>
      </c>
      <c r="V23" s="518"/>
      <c r="W23" s="518"/>
      <c r="X23" s="666"/>
      <c r="Y23" s="666"/>
      <c r="Z23" s="520"/>
      <c r="AA23" s="644" t="s">
        <v>1741</v>
      </c>
      <c r="AB23" s="522"/>
      <c r="AC23" s="72" t="s">
        <v>1742</v>
      </c>
      <c r="AD23" s="72"/>
      <c r="AE23" s="72" t="s">
        <v>1743</v>
      </c>
      <c r="AF23" s="72"/>
      <c r="AG23" s="72" t="s">
        <v>2019</v>
      </c>
      <c r="AH23" s="72"/>
      <c r="AI23" s="72" t="s">
        <v>1745</v>
      </c>
      <c r="AJ23" s="72"/>
      <c r="AK23" s="224"/>
      <c r="AL23" s="522"/>
      <c r="AM23" s="72"/>
      <c r="AN23" s="72"/>
      <c r="AO23" s="72"/>
      <c r="AP23" s="72"/>
      <c r="AQ23" s="72"/>
      <c r="AR23" s="518"/>
      <c r="AS23" s="72"/>
      <c r="AT23" s="72"/>
      <c r="AU23" s="518"/>
      <c r="AV23" s="518"/>
      <c r="AW23" s="518"/>
      <c r="AX23" s="642"/>
      <c r="AY23" s="642"/>
      <c r="AZ23" s="642"/>
      <c r="BA23" s="642"/>
      <c r="BB23" s="642"/>
      <c r="BC23" s="642"/>
      <c r="BD23" s="522"/>
      <c r="BE23" s="72"/>
      <c r="BF23" s="72"/>
      <c r="BG23" s="72"/>
      <c r="BH23" s="72"/>
      <c r="BI23" s="72"/>
      <c r="BJ23" s="72"/>
      <c r="BK23" s="72"/>
      <c r="BL23" s="72"/>
      <c r="BM23" s="518"/>
      <c r="BN23" s="518"/>
      <c r="BO23" s="518"/>
      <c r="BP23" s="518"/>
      <c r="BQ23" s="72"/>
      <c r="BR23" s="72"/>
      <c r="BS23" s="518"/>
      <c r="BT23" s="72"/>
      <c r="BU23" s="72"/>
      <c r="BV23" s="518"/>
      <c r="BW23" s="518"/>
      <c r="BX23" s="521"/>
    </row>
    <row r="24">
      <c r="A24" s="590"/>
      <c r="B24" s="514" t="s">
        <v>1746</v>
      </c>
      <c r="C24" s="522"/>
      <c r="D24" s="533" t="s">
        <v>1747</v>
      </c>
      <c r="E24" s="533"/>
      <c r="F24" s="72"/>
      <c r="G24" s="533" t="s">
        <v>1748</v>
      </c>
      <c r="H24" s="533"/>
      <c r="I24" s="72"/>
      <c r="J24" s="224" t="s">
        <v>1749</v>
      </c>
      <c r="K24" s="224"/>
      <c r="L24" s="72"/>
      <c r="M24" s="224" t="s">
        <v>1750</v>
      </c>
      <c r="N24" s="224"/>
      <c r="O24" s="72"/>
      <c r="P24" s="224" t="s">
        <v>1751</v>
      </c>
      <c r="Q24" s="142"/>
      <c r="R24" s="517"/>
      <c r="S24" s="518"/>
      <c r="T24" s="518"/>
      <c r="U24" s="518"/>
      <c r="V24" s="518"/>
      <c r="W24" s="518"/>
      <c r="X24" s="666"/>
      <c r="Y24" s="666"/>
      <c r="Z24" s="520"/>
      <c r="AA24" s="521"/>
      <c r="AB24" s="522"/>
      <c r="AC24" s="72"/>
      <c r="AD24" s="72"/>
      <c r="AE24" s="72"/>
      <c r="AF24" s="72"/>
      <c r="AG24" s="72"/>
      <c r="AH24" s="72"/>
      <c r="AI24" s="72"/>
      <c r="AJ24" s="72"/>
      <c r="AK24" s="224"/>
      <c r="AL24" s="522"/>
      <c r="AM24" s="72"/>
      <c r="AN24" s="72"/>
      <c r="AO24" s="72"/>
      <c r="AP24" s="72"/>
      <c r="AQ24" s="72"/>
      <c r="AR24" s="518"/>
      <c r="AS24" s="72"/>
      <c r="AT24" s="72"/>
      <c r="AU24" s="518"/>
      <c r="AV24" s="518"/>
      <c r="AW24" s="518"/>
      <c r="AX24" s="642"/>
      <c r="AY24" s="642"/>
      <c r="AZ24" s="642"/>
      <c r="BA24" s="642"/>
      <c r="BB24" s="642"/>
      <c r="BC24" s="642"/>
      <c r="BD24" s="522"/>
      <c r="BE24" s="72"/>
      <c r="BF24" s="72"/>
      <c r="BG24" s="72"/>
      <c r="BH24" s="72"/>
      <c r="BI24" s="72"/>
      <c r="BJ24" s="72"/>
      <c r="BK24" s="72"/>
      <c r="BL24" s="72"/>
      <c r="BM24" s="518"/>
      <c r="BN24" s="518"/>
      <c r="BO24" s="518"/>
      <c r="BP24" s="518"/>
      <c r="BQ24" s="72"/>
      <c r="BR24" s="72"/>
      <c r="BS24" s="518"/>
      <c r="BT24" s="72"/>
      <c r="BU24" s="72"/>
      <c r="BV24" s="518"/>
      <c r="BW24" s="518"/>
      <c r="BX24" s="521"/>
    </row>
    <row r="25">
      <c r="A25" s="590"/>
      <c r="B25" s="514" t="s">
        <v>1752</v>
      </c>
      <c r="C25" s="522"/>
      <c r="D25" s="533" t="s">
        <v>1753</v>
      </c>
      <c r="E25" s="533"/>
      <c r="F25" s="72"/>
      <c r="G25" s="533" t="s">
        <v>1754</v>
      </c>
      <c r="H25" s="533"/>
      <c r="I25" s="72"/>
      <c r="J25" s="224" t="s">
        <v>1755</v>
      </c>
      <c r="K25" s="224"/>
      <c r="L25" s="72"/>
      <c r="M25" s="224" t="s">
        <v>1756</v>
      </c>
      <c r="N25" s="224"/>
      <c r="O25" s="72"/>
      <c r="P25" s="224" t="s">
        <v>1757</v>
      </c>
      <c r="Q25" s="142"/>
      <c r="R25" s="517"/>
      <c r="S25" s="518"/>
      <c r="T25" s="518"/>
      <c r="U25" s="518"/>
      <c r="V25" s="518"/>
      <c r="W25" s="518"/>
      <c r="X25" s="666"/>
      <c r="Y25" s="666"/>
      <c r="Z25" s="520"/>
      <c r="AA25" s="521"/>
      <c r="AB25" s="522"/>
      <c r="AC25" s="72"/>
      <c r="AD25" s="72"/>
      <c r="AE25" s="72"/>
      <c r="AF25" s="72"/>
      <c r="AG25" s="72"/>
      <c r="AH25" s="72"/>
      <c r="AI25" s="72"/>
      <c r="AJ25" s="72"/>
      <c r="AK25" s="224"/>
      <c r="AL25" s="522"/>
      <c r="AM25" s="72"/>
      <c r="AN25" s="72"/>
      <c r="AO25" s="72"/>
      <c r="AP25" s="72"/>
      <c r="AQ25" s="72"/>
      <c r="AR25" s="518"/>
      <c r="AS25" s="72"/>
      <c r="AT25" s="72"/>
      <c r="AU25" s="518"/>
      <c r="AV25" s="518"/>
      <c r="AW25" s="518"/>
      <c r="AX25" s="642"/>
      <c r="AY25" s="642"/>
      <c r="AZ25" s="642"/>
      <c r="BA25" s="642"/>
      <c r="BB25" s="642"/>
      <c r="BC25" s="642"/>
      <c r="BD25" s="522"/>
      <c r="BE25" s="72"/>
      <c r="BF25" s="72"/>
      <c r="BG25" s="72"/>
      <c r="BH25" s="72"/>
      <c r="BI25" s="72"/>
      <c r="BJ25" s="72"/>
      <c r="BK25" s="72"/>
      <c r="BL25" s="72"/>
      <c r="BM25" s="518"/>
      <c r="BN25" s="518"/>
      <c r="BO25" s="518"/>
      <c r="BP25" s="518"/>
      <c r="BQ25" s="72"/>
      <c r="BR25" s="72"/>
      <c r="BS25" s="518"/>
      <c r="BT25" s="72"/>
      <c r="BU25" s="72"/>
      <c r="BV25" s="518"/>
      <c r="BW25" s="518"/>
      <c r="BX25" s="521"/>
    </row>
    <row r="26">
      <c r="A26" s="590"/>
      <c r="B26" s="514" t="s">
        <v>1758</v>
      </c>
      <c r="C26" s="522">
        <v>0.802</v>
      </c>
      <c r="D26" s="224" t="s">
        <v>1759</v>
      </c>
      <c r="E26" s="224"/>
      <c r="F26" s="72" t="s">
        <v>1142</v>
      </c>
      <c r="G26" s="224" t="s">
        <v>1760</v>
      </c>
      <c r="H26" s="224"/>
      <c r="I26" s="72">
        <v>0.648</v>
      </c>
      <c r="J26" s="224" t="s">
        <v>1761</v>
      </c>
      <c r="K26" s="224"/>
      <c r="L26" s="72">
        <v>0.443</v>
      </c>
      <c r="M26" s="224" t="s">
        <v>1762</v>
      </c>
      <c r="N26" s="224"/>
      <c r="O26" s="72">
        <v>0.827</v>
      </c>
      <c r="P26" s="72" t="s">
        <v>1763</v>
      </c>
      <c r="Q26" s="142"/>
      <c r="R26" s="517"/>
      <c r="S26" s="518"/>
      <c r="T26" s="518"/>
      <c r="U26" s="518" t="s">
        <v>1764</v>
      </c>
      <c r="V26" s="518"/>
      <c r="W26" s="518"/>
      <c r="X26" s="666"/>
      <c r="Y26" s="666"/>
      <c r="Z26" s="520"/>
      <c r="AA26" s="521"/>
      <c r="AB26" s="522"/>
      <c r="AC26" s="72"/>
      <c r="AD26" s="72"/>
      <c r="AE26" s="72"/>
      <c r="AF26" s="72"/>
      <c r="AG26" s="72"/>
      <c r="AH26" s="72"/>
      <c r="AI26" s="72"/>
      <c r="AJ26" s="72"/>
      <c r="AL26" s="522"/>
      <c r="AM26" s="72"/>
      <c r="AN26" s="72"/>
      <c r="AO26" s="72"/>
      <c r="AP26" s="72"/>
      <c r="AQ26" s="72"/>
      <c r="AR26" s="518"/>
      <c r="AS26" s="72"/>
      <c r="AT26" s="72"/>
      <c r="AU26" s="518"/>
      <c r="AV26" s="518"/>
      <c r="AW26" s="518"/>
      <c r="AX26" s="642"/>
      <c r="AY26" s="642"/>
      <c r="AZ26" s="642"/>
      <c r="BA26" s="642"/>
      <c r="BB26" s="642"/>
      <c r="BC26" s="642"/>
      <c r="BD26" s="522"/>
      <c r="BE26" s="72"/>
      <c r="BF26" s="72"/>
      <c r="BG26" s="72"/>
      <c r="BH26" s="72"/>
      <c r="BI26" s="72"/>
      <c r="BJ26" s="72"/>
      <c r="BK26" s="72"/>
      <c r="BL26" s="72"/>
      <c r="BM26" s="518"/>
      <c r="BN26" s="518"/>
      <c r="BO26" s="518"/>
      <c r="BP26" s="518"/>
      <c r="BQ26" s="72"/>
      <c r="BR26" s="72"/>
      <c r="BS26" s="518"/>
      <c r="BT26" s="72"/>
      <c r="BU26" s="72"/>
      <c r="BV26" s="518"/>
      <c r="BW26" s="518"/>
      <c r="BX26" s="521"/>
    </row>
    <row r="27">
      <c r="A27" s="590"/>
      <c r="B27" s="514" t="s">
        <v>1765</v>
      </c>
      <c r="C27" s="522">
        <v>0.829</v>
      </c>
      <c r="D27" s="224" t="s">
        <v>1766</v>
      </c>
      <c r="E27" s="533" t="s">
        <v>1767</v>
      </c>
      <c r="F27" s="72">
        <v>0.708</v>
      </c>
      <c r="G27" s="224" t="s">
        <v>1768</v>
      </c>
      <c r="H27" s="533" t="s">
        <v>1769</v>
      </c>
      <c r="I27" s="72">
        <v>0.693</v>
      </c>
      <c r="J27" s="224" t="s">
        <v>1770</v>
      </c>
      <c r="K27" s="224" t="s">
        <v>1771</v>
      </c>
      <c r="L27" s="72">
        <v>0.431</v>
      </c>
      <c r="M27" s="224" t="s">
        <v>1772</v>
      </c>
      <c r="N27" s="224"/>
      <c r="O27" s="72">
        <v>0.827</v>
      </c>
      <c r="P27" s="72" t="s">
        <v>1773</v>
      </c>
      <c r="Q27" s="142" t="s">
        <v>1774</v>
      </c>
      <c r="R27" s="517"/>
      <c r="S27" s="518" t="s">
        <v>1775</v>
      </c>
      <c r="T27" s="518"/>
      <c r="U27" s="518"/>
      <c r="V27" s="518"/>
      <c r="W27" s="518"/>
      <c r="X27" s="666"/>
      <c r="Y27" s="666"/>
      <c r="Z27" s="520"/>
      <c r="AA27" s="521" t="s">
        <v>1776</v>
      </c>
      <c r="AB27" s="522"/>
      <c r="AC27" s="72" t="s">
        <v>1777</v>
      </c>
      <c r="AD27" s="72"/>
      <c r="AE27" s="72" t="s">
        <v>1778</v>
      </c>
      <c r="AF27" s="72"/>
      <c r="AG27" s="72" t="s">
        <v>1779</v>
      </c>
      <c r="AH27" s="72"/>
      <c r="AI27" s="72" t="s">
        <v>1780</v>
      </c>
      <c r="AJ27" s="72"/>
      <c r="AK27" s="142" t="s">
        <v>1781</v>
      </c>
      <c r="AL27" s="522" t="s">
        <v>1782</v>
      </c>
      <c r="AM27" s="72" t="s">
        <v>1783</v>
      </c>
      <c r="AN27" s="72" t="s">
        <v>1784</v>
      </c>
      <c r="AO27" s="72" t="s">
        <v>1785</v>
      </c>
      <c r="AP27" s="72" t="s">
        <v>1786</v>
      </c>
      <c r="AQ27" s="531" t="s">
        <v>1784</v>
      </c>
      <c r="AR27" s="518">
        <v>0.87</v>
      </c>
      <c r="AS27" s="72" t="s">
        <v>1787</v>
      </c>
      <c r="AT27" s="72" t="s">
        <v>1788</v>
      </c>
      <c r="AU27" s="518"/>
      <c r="AV27" s="518"/>
      <c r="AW27" s="518"/>
      <c r="AX27" s="642"/>
      <c r="AY27" s="642"/>
      <c r="AZ27" s="642"/>
      <c r="BA27" s="642"/>
      <c r="BB27" s="642"/>
      <c r="BC27" s="642"/>
      <c r="BD27" s="522"/>
      <c r="BE27" s="72"/>
      <c r="BF27" s="72"/>
      <c r="BG27" s="72"/>
      <c r="BH27" s="72"/>
      <c r="BI27" s="72"/>
      <c r="BJ27" s="72"/>
      <c r="BK27" s="72"/>
      <c r="BL27" s="72"/>
      <c r="BM27" s="518"/>
      <c r="BN27" s="518"/>
      <c r="BO27" s="518"/>
      <c r="BP27" s="518"/>
      <c r="BQ27" s="72" t="s">
        <v>1789</v>
      </c>
      <c r="BR27" s="72" t="s">
        <v>1790</v>
      </c>
      <c r="BS27" s="518"/>
      <c r="BT27" s="72" t="s">
        <v>1791</v>
      </c>
      <c r="BU27" s="72"/>
      <c r="BV27" s="518"/>
      <c r="BW27" s="518"/>
      <c r="BX27" s="521"/>
    </row>
    <row r="28">
      <c r="A28" s="590"/>
      <c r="B28" s="514" t="s">
        <v>1792</v>
      </c>
      <c r="C28" s="522"/>
      <c r="D28" s="224"/>
      <c r="E28" s="533"/>
      <c r="F28" s="72"/>
      <c r="G28" s="224"/>
      <c r="H28" s="533"/>
      <c r="I28" s="72"/>
      <c r="J28" s="224" t="s">
        <v>1793</v>
      </c>
      <c r="K28" s="224"/>
      <c r="L28" s="72"/>
      <c r="M28" s="224"/>
      <c r="N28" s="224"/>
      <c r="O28" s="72"/>
      <c r="P28" s="72"/>
      <c r="Q28" s="142"/>
      <c r="R28" s="517"/>
      <c r="S28" s="518"/>
      <c r="T28" s="518"/>
      <c r="U28" s="518"/>
      <c r="V28" s="518"/>
      <c r="W28" s="518"/>
      <c r="X28" s="666"/>
      <c r="Y28" s="666"/>
      <c r="Z28" s="520"/>
      <c r="AA28" s="521"/>
      <c r="AB28" s="522"/>
      <c r="AC28" s="72"/>
      <c r="AD28" s="72"/>
      <c r="AE28" s="72"/>
      <c r="AF28" s="72"/>
      <c r="AG28" s="72"/>
      <c r="AH28" s="72"/>
      <c r="AI28" s="72"/>
      <c r="AJ28" s="72"/>
      <c r="AK28" s="142"/>
      <c r="AL28" s="522"/>
      <c r="AM28" s="72"/>
      <c r="AN28" s="72"/>
      <c r="AO28" s="72"/>
      <c r="AP28" s="72"/>
      <c r="AQ28" s="531"/>
      <c r="AR28" s="518"/>
      <c r="AS28" s="72"/>
      <c r="AT28" s="72"/>
      <c r="AU28" s="518"/>
      <c r="AV28" s="518"/>
      <c r="AW28" s="518"/>
      <c r="AX28" s="642"/>
      <c r="AY28" s="642"/>
      <c r="AZ28" s="642"/>
      <c r="BA28" s="642"/>
      <c r="BB28" s="642"/>
      <c r="BC28" s="642"/>
      <c r="BD28" s="522"/>
      <c r="BE28" s="72"/>
      <c r="BF28" s="72"/>
      <c r="BG28" s="72"/>
      <c r="BH28" s="72"/>
      <c r="BI28" s="72"/>
      <c r="BJ28" s="72"/>
      <c r="BK28" s="72"/>
      <c r="BL28" s="72"/>
      <c r="BM28" s="518"/>
      <c r="BN28" s="518"/>
      <c r="BO28" s="518"/>
      <c r="BP28" s="518"/>
      <c r="BQ28" s="72"/>
      <c r="BR28" s="72"/>
      <c r="BS28" s="518"/>
      <c r="BT28" s="72"/>
      <c r="BU28" s="72"/>
      <c r="BV28" s="518"/>
      <c r="BW28" s="518"/>
      <c r="BX28" s="521"/>
    </row>
    <row r="29">
      <c r="A29" s="590"/>
      <c r="B29" s="660" t="s">
        <v>1794</v>
      </c>
      <c r="C29" s="522">
        <v>0.92</v>
      </c>
      <c r="D29" s="484" t="s">
        <v>1795</v>
      </c>
      <c r="E29" s="224" t="s">
        <v>1796</v>
      </c>
      <c r="F29" s="531">
        <v>0.81</v>
      </c>
      <c r="G29" s="484" t="s">
        <v>1797</v>
      </c>
      <c r="H29" s="224" t="s">
        <v>1798</v>
      </c>
      <c r="I29" s="72">
        <v>0.736</v>
      </c>
      <c r="J29" s="224" t="s">
        <v>1799</v>
      </c>
      <c r="K29" s="224" t="s">
        <v>1800</v>
      </c>
      <c r="L29" s="72">
        <v>0.628</v>
      </c>
      <c r="M29" s="224" t="s">
        <v>1801</v>
      </c>
      <c r="N29" s="224" t="s">
        <v>1802</v>
      </c>
      <c r="O29" s="72">
        <v>0.842</v>
      </c>
      <c r="P29" s="72" t="s">
        <v>1803</v>
      </c>
      <c r="Q29" s="146" t="s">
        <v>1804</v>
      </c>
      <c r="R29" s="517">
        <v>0.518</v>
      </c>
      <c r="S29" s="518" t="s">
        <v>2020</v>
      </c>
      <c r="T29" s="518">
        <v>0.004</v>
      </c>
      <c r="U29" s="518" t="s">
        <v>2021</v>
      </c>
      <c r="V29" s="518"/>
      <c r="W29" s="518"/>
      <c r="X29" s="666"/>
      <c r="Y29" s="666"/>
      <c r="Z29" s="520"/>
      <c r="AA29" s="521" t="s">
        <v>2022</v>
      </c>
      <c r="AB29" s="522"/>
      <c r="AC29" s="72" t="s">
        <v>1808</v>
      </c>
      <c r="AD29" s="72"/>
      <c r="AE29" s="72"/>
      <c r="AF29" s="72"/>
      <c r="AG29" s="72"/>
      <c r="AH29" s="72"/>
      <c r="AI29" s="72"/>
      <c r="AJ29" s="72"/>
      <c r="AK29" s="146"/>
      <c r="AL29" s="522" t="s">
        <v>1809</v>
      </c>
      <c r="AM29" s="72" t="s">
        <v>1810</v>
      </c>
      <c r="AN29" s="72" t="s">
        <v>1811</v>
      </c>
      <c r="AO29" s="224" t="s">
        <v>1812</v>
      </c>
      <c r="AP29" s="224" t="s">
        <v>1813</v>
      </c>
      <c r="AQ29" s="224" t="s">
        <v>1814</v>
      </c>
      <c r="AR29" s="518"/>
      <c r="AS29" s="72" t="s">
        <v>1815</v>
      </c>
      <c r="AT29" s="72" t="s">
        <v>1816</v>
      </c>
      <c r="AU29" s="518"/>
      <c r="AV29" s="518"/>
      <c r="AW29" s="518"/>
      <c r="AX29" s="642"/>
      <c r="AY29" s="642"/>
      <c r="AZ29" s="642"/>
      <c r="BA29" s="642"/>
      <c r="BB29" s="642"/>
      <c r="BC29" s="642"/>
      <c r="BD29" s="522"/>
      <c r="BE29" s="72"/>
      <c r="BF29" s="72"/>
      <c r="BG29" s="72"/>
      <c r="BH29" s="72"/>
      <c r="BI29" s="72"/>
      <c r="BJ29" s="72"/>
      <c r="BK29" s="72"/>
      <c r="BL29" s="72"/>
      <c r="BM29" s="518"/>
      <c r="BN29" s="518"/>
      <c r="BO29" s="518"/>
      <c r="BP29" s="518"/>
      <c r="BQ29" s="72" t="s">
        <v>1817</v>
      </c>
      <c r="BR29" s="72"/>
      <c r="BS29" s="518"/>
      <c r="BT29" s="72" t="s">
        <v>1818</v>
      </c>
      <c r="BU29" s="72" t="s">
        <v>1819</v>
      </c>
      <c r="BV29" s="518"/>
      <c r="BW29" s="518"/>
      <c r="BX29" s="521"/>
    </row>
    <row r="30">
      <c r="A30" s="590"/>
      <c r="B30" s="660" t="s">
        <v>1820</v>
      </c>
      <c r="C30" s="522"/>
      <c r="D30" s="484"/>
      <c r="E30" s="224"/>
      <c r="F30" s="531"/>
      <c r="G30" s="484"/>
      <c r="H30" s="224"/>
      <c r="I30" s="72"/>
      <c r="J30" s="224" t="s">
        <v>1821</v>
      </c>
      <c r="K30" s="224" t="s">
        <v>1822</v>
      </c>
      <c r="L30" s="72"/>
      <c r="M30" s="224" t="s">
        <v>1823</v>
      </c>
      <c r="N30" s="224" t="s">
        <v>1824</v>
      </c>
      <c r="O30" s="72"/>
      <c r="P30" s="72" t="s">
        <v>1825</v>
      </c>
      <c r="Q30" s="146" t="s">
        <v>1826</v>
      </c>
      <c r="R30" s="517"/>
      <c r="S30" s="518"/>
      <c r="T30" s="518"/>
      <c r="U30" s="518"/>
      <c r="V30" s="518"/>
      <c r="W30" s="518"/>
      <c r="X30" s="666"/>
      <c r="Y30" s="666"/>
      <c r="Z30" s="520"/>
      <c r="AA30" s="521"/>
      <c r="AB30" s="522"/>
      <c r="AC30" s="72" t="s">
        <v>1827</v>
      </c>
      <c r="AD30" s="72"/>
      <c r="AE30" s="72" t="s">
        <v>1828</v>
      </c>
      <c r="AF30" s="72"/>
      <c r="AG30" s="72"/>
      <c r="AH30" s="72"/>
      <c r="AI30" s="72"/>
      <c r="AJ30" s="72"/>
      <c r="AK30" s="146"/>
      <c r="AL30" s="522"/>
      <c r="AM30" s="636" t="s">
        <v>1829</v>
      </c>
      <c r="AN30" s="636" t="s">
        <v>1067</v>
      </c>
      <c r="AO30" s="72"/>
      <c r="AP30" s="72" t="s">
        <v>1830</v>
      </c>
      <c r="AQ30" s="72" t="s">
        <v>1831</v>
      </c>
      <c r="AR30" s="518"/>
      <c r="AS30" s="72" t="s">
        <v>1832</v>
      </c>
      <c r="AT30" s="72" t="s">
        <v>1833</v>
      </c>
      <c r="AU30" s="518"/>
      <c r="AV30" s="518"/>
      <c r="AW30" s="518"/>
      <c r="AX30" s="642"/>
      <c r="AY30" s="642"/>
      <c r="AZ30" s="642"/>
      <c r="BA30" s="642"/>
      <c r="BB30" s="642"/>
      <c r="BC30" s="642"/>
      <c r="BD30" s="522"/>
      <c r="BE30" s="72"/>
      <c r="BF30" s="72"/>
      <c r="BG30" s="72"/>
      <c r="BH30" s="72"/>
      <c r="BI30" s="72"/>
      <c r="BJ30" s="72"/>
      <c r="BK30" s="72"/>
      <c r="BL30" s="72"/>
      <c r="BM30" s="518"/>
      <c r="BN30" s="518"/>
      <c r="BO30" s="518"/>
      <c r="BP30" s="518"/>
      <c r="BQ30" s="72" t="s">
        <v>1834</v>
      </c>
      <c r="BR30" s="72"/>
      <c r="BS30" s="518"/>
      <c r="BT30" s="72"/>
      <c r="BU30" s="72"/>
      <c r="BV30" s="518"/>
      <c r="BW30" s="518"/>
      <c r="BX30" s="521"/>
    </row>
    <row r="31">
      <c r="A31" s="590"/>
      <c r="B31" s="514" t="s">
        <v>1835</v>
      </c>
      <c r="C31" s="25"/>
      <c r="D31" s="224" t="s">
        <v>1836</v>
      </c>
      <c r="E31" s="224"/>
      <c r="F31" s="72" t="s">
        <v>1142</v>
      </c>
      <c r="G31" s="224" t="s">
        <v>1837</v>
      </c>
      <c r="H31" s="224"/>
      <c r="I31" s="26"/>
      <c r="K31" s="224"/>
      <c r="M31" s="224" t="s">
        <v>1838</v>
      </c>
      <c r="N31" s="224"/>
      <c r="O31" s="72"/>
      <c r="P31" s="72" t="s">
        <v>1839</v>
      </c>
      <c r="Q31" s="146"/>
      <c r="R31" s="517"/>
      <c r="S31" s="518"/>
      <c r="T31" s="518"/>
      <c r="U31" s="518"/>
      <c r="V31" s="518"/>
      <c r="W31" s="518"/>
      <c r="X31" s="666"/>
      <c r="Y31" s="666"/>
      <c r="Z31" s="520"/>
      <c r="AA31" s="521"/>
      <c r="AB31" s="522"/>
      <c r="AC31" s="72"/>
      <c r="AD31" s="72"/>
      <c r="AE31" s="72"/>
      <c r="AF31" s="72"/>
      <c r="AG31" s="72"/>
      <c r="AH31" s="72"/>
      <c r="AI31" s="72"/>
      <c r="AJ31" s="72"/>
      <c r="AK31" s="146"/>
      <c r="AL31" s="522"/>
      <c r="AM31" s="72"/>
      <c r="AN31" s="72"/>
      <c r="AO31" s="72"/>
      <c r="AP31" s="72"/>
      <c r="AQ31" s="72"/>
      <c r="AR31" s="518"/>
      <c r="AS31" s="72"/>
      <c r="AT31" s="72"/>
      <c r="AU31" s="518"/>
      <c r="AV31" s="518"/>
      <c r="AW31" s="518"/>
      <c r="AX31" s="642"/>
      <c r="AY31" s="642"/>
      <c r="AZ31" s="642"/>
      <c r="BA31" s="642"/>
      <c r="BB31" s="642"/>
      <c r="BC31" s="642"/>
      <c r="BD31" s="522"/>
      <c r="BE31" s="72"/>
      <c r="BF31" s="72"/>
      <c r="BG31" s="72"/>
      <c r="BH31" s="72"/>
      <c r="BI31" s="72"/>
      <c r="BJ31" s="72"/>
      <c r="BK31" s="72"/>
      <c r="BL31" s="72"/>
      <c r="BM31" s="518"/>
      <c r="BN31" s="518"/>
      <c r="BO31" s="518"/>
      <c r="BP31" s="518"/>
      <c r="BQ31" s="72"/>
      <c r="BR31" s="72"/>
      <c r="BS31" s="518"/>
      <c r="BT31" s="72"/>
      <c r="BU31" s="72"/>
      <c r="BV31" s="518"/>
      <c r="BW31" s="518"/>
      <c r="BX31" s="521"/>
    </row>
    <row r="32">
      <c r="A32" s="590"/>
      <c r="B32" s="514" t="s">
        <v>540</v>
      </c>
      <c r="C32" s="25"/>
      <c r="D32" s="224" t="s">
        <v>2023</v>
      </c>
      <c r="E32" s="224"/>
      <c r="F32" s="72"/>
      <c r="G32" s="224" t="s">
        <v>2024</v>
      </c>
      <c r="H32" s="224"/>
      <c r="I32" s="26"/>
      <c r="J32" s="224" t="s">
        <v>2025</v>
      </c>
      <c r="K32" s="224" t="s">
        <v>2026</v>
      </c>
      <c r="M32" s="224" t="s">
        <v>2027</v>
      </c>
      <c r="N32" s="224"/>
      <c r="O32" s="72"/>
      <c r="P32" s="72" t="s">
        <v>1373</v>
      </c>
      <c r="Q32" s="146" t="s">
        <v>1374</v>
      </c>
      <c r="R32" s="517"/>
      <c r="S32" s="518"/>
      <c r="T32" s="518"/>
      <c r="V32" s="518"/>
      <c r="W32" s="518"/>
      <c r="X32" s="666"/>
      <c r="Y32" s="666"/>
      <c r="Z32" s="520"/>
      <c r="AA32" s="521"/>
      <c r="AB32" s="522"/>
      <c r="AC32" s="72" t="s">
        <v>2028</v>
      </c>
      <c r="AD32" s="72"/>
      <c r="AE32" s="72"/>
      <c r="AF32" s="72"/>
      <c r="AG32" s="72"/>
      <c r="AH32" s="72"/>
      <c r="AI32" s="72"/>
      <c r="AJ32" s="72"/>
      <c r="AK32" s="146"/>
      <c r="AL32" s="522"/>
      <c r="AM32" s="72" t="s">
        <v>1387</v>
      </c>
      <c r="AN32" s="72" t="s">
        <v>1388</v>
      </c>
      <c r="AO32" s="72"/>
      <c r="AP32" s="72"/>
      <c r="AQ32" s="72"/>
      <c r="AR32" s="518"/>
      <c r="AS32" s="72" t="s">
        <v>1390</v>
      </c>
      <c r="AT32" s="72" t="s">
        <v>1391</v>
      </c>
      <c r="AU32" s="518"/>
      <c r="AV32" s="518" t="s">
        <v>1840</v>
      </c>
      <c r="AW32" s="518" t="s">
        <v>2029</v>
      </c>
      <c r="AX32" s="642"/>
      <c r="AY32" s="642"/>
      <c r="AZ32" s="642"/>
      <c r="BA32" s="642"/>
      <c r="BB32" s="642"/>
      <c r="BC32" s="642"/>
      <c r="BD32" s="522"/>
      <c r="BE32" s="72"/>
      <c r="BF32" s="72"/>
      <c r="BG32" s="72"/>
      <c r="BH32" s="72"/>
      <c r="BI32" s="72"/>
      <c r="BJ32" s="72"/>
      <c r="BK32" s="72"/>
      <c r="BL32" s="72"/>
      <c r="BM32" s="518"/>
      <c r="BN32" s="518"/>
      <c r="BO32" s="518"/>
      <c r="BP32" s="518"/>
      <c r="BQ32" s="72"/>
      <c r="BR32" s="72"/>
      <c r="BS32" s="518"/>
      <c r="BT32" s="72" t="s">
        <v>1400</v>
      </c>
      <c r="BU32" s="72"/>
      <c r="BV32" s="518"/>
      <c r="BW32" s="518"/>
      <c r="BX32" s="521"/>
    </row>
    <row r="33">
      <c r="A33" s="590"/>
      <c r="B33" s="514" t="s">
        <v>567</v>
      </c>
      <c r="C33" s="25"/>
      <c r="D33" s="224" t="s">
        <v>2030</v>
      </c>
      <c r="E33" s="224" t="s">
        <v>1406</v>
      </c>
      <c r="F33" s="72"/>
      <c r="G33" s="224" t="s">
        <v>2031</v>
      </c>
      <c r="H33" s="224" t="s">
        <v>2032</v>
      </c>
      <c r="I33" s="26"/>
      <c r="J33" s="224" t="s">
        <v>1409</v>
      </c>
      <c r="K33" s="224" t="s">
        <v>1410</v>
      </c>
      <c r="M33" s="224" t="s">
        <v>1411</v>
      </c>
      <c r="N33" s="224" t="s">
        <v>1412</v>
      </c>
      <c r="O33" s="72"/>
      <c r="P33" s="72" t="s">
        <v>2033</v>
      </c>
      <c r="Q33" s="146" t="s">
        <v>2034</v>
      </c>
      <c r="R33" s="517"/>
      <c r="S33" s="518"/>
      <c r="T33" s="518"/>
      <c r="U33" s="518"/>
      <c r="V33" s="518"/>
      <c r="W33" s="518"/>
      <c r="X33" s="666"/>
      <c r="Y33" s="666"/>
      <c r="Z33" s="520"/>
      <c r="AA33" s="521"/>
      <c r="AB33" s="522"/>
      <c r="AC33" s="72"/>
      <c r="AD33" s="72"/>
      <c r="AE33" s="72"/>
      <c r="AF33" s="72"/>
      <c r="AG33" s="72"/>
      <c r="AH33" s="72"/>
      <c r="AI33" s="72"/>
      <c r="AJ33" s="72"/>
      <c r="AK33" s="146"/>
      <c r="AL33" s="522"/>
      <c r="AM33" s="72" t="s">
        <v>1427</v>
      </c>
      <c r="AN33" s="72" t="s">
        <v>1428</v>
      </c>
      <c r="AO33" s="72"/>
      <c r="AP33" s="72" t="s">
        <v>1429</v>
      </c>
      <c r="AQ33" s="72" t="s">
        <v>1430</v>
      </c>
      <c r="AR33" s="518"/>
      <c r="AS33" s="72"/>
      <c r="AT33" s="72"/>
      <c r="AU33" s="518"/>
      <c r="AV33" s="518"/>
      <c r="AW33" s="518"/>
      <c r="AX33" s="642"/>
      <c r="AY33" s="642"/>
      <c r="AZ33" s="642"/>
      <c r="BA33" s="642"/>
      <c r="BB33" s="642"/>
      <c r="BC33" s="642"/>
      <c r="BD33" s="522"/>
      <c r="BE33" s="72"/>
      <c r="BF33" s="72"/>
      <c r="BG33" s="72"/>
      <c r="BH33" s="72"/>
      <c r="BI33" s="72"/>
      <c r="BJ33" s="72"/>
      <c r="BK33" s="72"/>
      <c r="BL33" s="72"/>
      <c r="BM33" s="518"/>
      <c r="BN33" s="518"/>
      <c r="BO33" s="518"/>
      <c r="BP33" s="518"/>
      <c r="BQ33" s="72" t="s">
        <v>1438</v>
      </c>
      <c r="BR33" s="72" t="s">
        <v>1936</v>
      </c>
      <c r="BS33" s="518"/>
      <c r="BT33" s="72" t="s">
        <v>1441</v>
      </c>
      <c r="BU33" s="72" t="s">
        <v>1443</v>
      </c>
      <c r="BV33" s="518"/>
      <c r="BW33" s="518"/>
      <c r="BX33" s="521"/>
    </row>
    <row r="34">
      <c r="A34" s="590"/>
      <c r="B34" s="514" t="s">
        <v>1843</v>
      </c>
      <c r="C34" s="25"/>
      <c r="D34" s="224" t="s">
        <v>1844</v>
      </c>
      <c r="E34" s="224"/>
      <c r="F34" s="72"/>
      <c r="G34" s="224" t="s">
        <v>1845</v>
      </c>
      <c r="H34" s="224" t="s">
        <v>1846</v>
      </c>
      <c r="I34" s="26"/>
      <c r="J34" s="224" t="s">
        <v>1847</v>
      </c>
      <c r="K34" s="224" t="s">
        <v>1848</v>
      </c>
      <c r="M34" s="224" t="s">
        <v>1849</v>
      </c>
      <c r="N34" s="224" t="s">
        <v>1850</v>
      </c>
      <c r="O34" s="72"/>
      <c r="P34" s="72" t="s">
        <v>1851</v>
      </c>
      <c r="Q34" s="146"/>
      <c r="R34" s="517"/>
      <c r="S34" s="518"/>
      <c r="T34" s="518"/>
      <c r="U34" s="518" t="s">
        <v>1852</v>
      </c>
      <c r="V34" s="518"/>
      <c r="W34" s="518" t="s">
        <v>1853</v>
      </c>
      <c r="X34" s="666"/>
      <c r="Y34" s="666"/>
      <c r="Z34" s="520"/>
      <c r="AA34" s="521"/>
      <c r="AB34" s="522"/>
      <c r="AC34" s="72"/>
      <c r="AD34" s="72"/>
      <c r="AE34" s="72"/>
      <c r="AF34" s="72"/>
      <c r="AG34" s="72"/>
      <c r="AH34" s="72"/>
      <c r="AI34" s="72"/>
      <c r="AJ34" s="72"/>
      <c r="AK34" s="146"/>
      <c r="AL34" s="522"/>
      <c r="AM34" s="72"/>
      <c r="AN34" s="72"/>
      <c r="AO34" s="72"/>
      <c r="AP34" s="72"/>
      <c r="AQ34" s="72"/>
      <c r="AR34" s="518"/>
      <c r="AS34" s="72"/>
      <c r="AT34" s="72"/>
      <c r="AU34" s="518"/>
      <c r="AV34" s="518"/>
      <c r="AW34" s="518"/>
      <c r="AX34" s="642"/>
      <c r="AY34" s="642"/>
      <c r="AZ34" s="642"/>
      <c r="BA34" s="642"/>
      <c r="BB34" s="642"/>
      <c r="BC34" s="642"/>
      <c r="BD34" s="522"/>
      <c r="BE34" s="72"/>
      <c r="BF34" s="72"/>
      <c r="BG34" s="72"/>
      <c r="BH34" s="72"/>
      <c r="BI34" s="72"/>
      <c r="BJ34" s="72"/>
      <c r="BK34" s="72"/>
      <c r="BL34" s="72"/>
      <c r="BM34" s="518"/>
      <c r="BN34" s="518"/>
      <c r="BO34" s="518"/>
      <c r="BP34" s="518"/>
      <c r="BQ34" s="72"/>
      <c r="BR34" s="72"/>
      <c r="BS34" s="518"/>
      <c r="BT34" s="72"/>
      <c r="BU34" s="72"/>
      <c r="BV34" s="518"/>
      <c r="BW34" s="518"/>
      <c r="BX34" s="521"/>
    </row>
    <row r="35">
      <c r="A35" s="624"/>
      <c r="B35" s="561" t="s">
        <v>2035</v>
      </c>
      <c r="C35" s="325"/>
      <c r="D35" s="492" t="s">
        <v>2036</v>
      </c>
      <c r="E35" s="492"/>
      <c r="F35" s="563" t="s">
        <v>1142</v>
      </c>
      <c r="G35" s="492" t="s">
        <v>2037</v>
      </c>
      <c r="H35" s="492"/>
      <c r="I35" s="326"/>
      <c r="J35" s="492" t="s">
        <v>2038</v>
      </c>
      <c r="K35" s="492"/>
      <c r="L35" s="326"/>
      <c r="M35" s="492" t="s">
        <v>2039</v>
      </c>
      <c r="N35" s="492"/>
      <c r="O35" s="563"/>
      <c r="P35" s="563" t="s">
        <v>2040</v>
      </c>
      <c r="Q35" s="324"/>
      <c r="R35" s="662"/>
      <c r="S35" s="568"/>
      <c r="T35" s="568"/>
      <c r="U35" s="568"/>
      <c r="V35" s="568"/>
      <c r="W35" s="568"/>
      <c r="X35" s="670"/>
      <c r="Y35" s="670"/>
      <c r="Z35" s="571"/>
      <c r="AA35" s="572"/>
      <c r="AB35" s="562"/>
      <c r="AC35" s="563"/>
      <c r="AD35" s="563"/>
      <c r="AE35" s="563"/>
      <c r="AF35" s="563"/>
      <c r="AG35" s="563"/>
      <c r="AH35" s="563"/>
      <c r="AI35" s="563"/>
      <c r="AJ35" s="563"/>
      <c r="AK35" s="324"/>
      <c r="AL35" s="562"/>
      <c r="AM35" s="674"/>
      <c r="AN35" s="674"/>
      <c r="AO35" s="563"/>
      <c r="AP35" s="563"/>
      <c r="AQ35" s="563"/>
      <c r="AR35" s="568"/>
      <c r="AS35" s="563"/>
      <c r="AT35" s="563"/>
      <c r="AU35" s="568"/>
      <c r="AV35" s="568"/>
      <c r="AW35" s="568"/>
      <c r="AX35" s="653"/>
      <c r="AY35" s="653"/>
      <c r="AZ35" s="653"/>
      <c r="BA35" s="653"/>
      <c r="BB35" s="653"/>
      <c r="BC35" s="653"/>
      <c r="BD35" s="562"/>
      <c r="BE35" s="563"/>
      <c r="BF35" s="563"/>
      <c r="BG35" s="563"/>
      <c r="BH35" s="563"/>
      <c r="BI35" s="563"/>
      <c r="BJ35" s="563"/>
      <c r="BK35" s="563"/>
      <c r="BL35" s="563"/>
      <c r="BM35" s="568"/>
      <c r="BN35" s="568"/>
      <c r="BO35" s="568"/>
      <c r="BP35" s="568"/>
      <c r="BQ35" s="563"/>
      <c r="BR35" s="563"/>
      <c r="BS35" s="568"/>
      <c r="BT35" s="563"/>
      <c r="BU35" s="563"/>
      <c r="BV35" s="568"/>
      <c r="BW35" s="568"/>
      <c r="BX35" s="572"/>
    </row>
    <row r="36">
      <c r="A36" s="224"/>
      <c r="B36" s="224"/>
      <c r="C36" s="26"/>
      <c r="D36" s="224"/>
      <c r="E36" s="224"/>
      <c r="F36" s="72"/>
      <c r="G36" s="224"/>
      <c r="H36" s="224"/>
      <c r="I36" s="26"/>
      <c r="J36" s="224"/>
      <c r="K36" s="224"/>
      <c r="L36" s="26"/>
      <c r="M36" s="224"/>
      <c r="N36" s="224"/>
      <c r="O36" s="72"/>
      <c r="P36" s="72"/>
      <c r="Q36" s="224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72"/>
      <c r="AC36" s="72"/>
      <c r="AD36" s="72"/>
      <c r="AE36" s="72"/>
      <c r="AF36" s="72"/>
      <c r="AG36" s="72"/>
      <c r="AH36" s="72"/>
      <c r="AI36" s="72"/>
      <c r="AJ36" s="72"/>
      <c r="AK36" s="224"/>
      <c r="AL36" s="72"/>
      <c r="AM36" s="72"/>
      <c r="AN36" s="72"/>
      <c r="AO36" s="72"/>
      <c r="AP36" s="72"/>
      <c r="AQ36" s="72"/>
      <c r="AR36" s="518"/>
      <c r="AS36" s="72"/>
      <c r="AT36" s="72"/>
      <c r="AU36" s="518"/>
      <c r="AV36" s="518"/>
      <c r="AW36" s="518"/>
      <c r="AX36" s="518"/>
      <c r="AY36" s="518"/>
      <c r="AZ36" s="518"/>
      <c r="BA36" s="518"/>
      <c r="BB36" s="518"/>
      <c r="BC36" s="518"/>
      <c r="BD36" s="518"/>
      <c r="BE36" s="518"/>
      <c r="BF36" s="518"/>
      <c r="BG36" s="518"/>
      <c r="BH36" s="518"/>
      <c r="BI36" s="518"/>
      <c r="BJ36" s="518"/>
      <c r="BK36" s="518"/>
      <c r="BL36" s="518"/>
      <c r="BM36" s="518"/>
      <c r="BN36" s="518"/>
      <c r="BO36" s="518"/>
      <c r="BP36" s="518"/>
      <c r="BQ36" s="72"/>
      <c r="BR36" s="72"/>
      <c r="BS36" s="72"/>
      <c r="BT36" s="72"/>
      <c r="BU36" s="72"/>
      <c r="BV36" s="518"/>
      <c r="BW36" s="518"/>
      <c r="BX36" s="518"/>
    </row>
    <row r="37">
      <c r="A37" s="224"/>
      <c r="B37" s="224"/>
      <c r="C37" s="26"/>
      <c r="D37" s="224"/>
      <c r="E37" s="224"/>
      <c r="F37" s="72"/>
      <c r="G37" s="224"/>
      <c r="H37" s="224"/>
      <c r="I37" s="26"/>
      <c r="J37" s="224"/>
      <c r="K37" s="224"/>
      <c r="L37" s="26"/>
      <c r="M37" s="224"/>
      <c r="N37" s="224"/>
      <c r="O37" s="72"/>
      <c r="P37" s="72"/>
      <c r="Q37" s="224"/>
      <c r="R37" s="518"/>
      <c r="S37" s="518"/>
      <c r="T37" s="518"/>
      <c r="U37" s="518"/>
      <c r="V37" s="518"/>
      <c r="W37" s="518"/>
      <c r="X37" s="518"/>
      <c r="Y37" s="518"/>
      <c r="Z37" s="518"/>
      <c r="AA37" s="518"/>
      <c r="AB37" s="72"/>
      <c r="AC37" s="72"/>
      <c r="AD37" s="72"/>
      <c r="AE37" s="72"/>
      <c r="AF37" s="72"/>
      <c r="AG37" s="72"/>
      <c r="AH37" s="72"/>
      <c r="AI37" s="72"/>
      <c r="AJ37" s="72"/>
      <c r="AK37" s="224"/>
      <c r="AL37" s="72"/>
      <c r="AM37" s="72"/>
      <c r="AN37" s="72"/>
      <c r="AO37" s="72"/>
      <c r="AP37" s="72"/>
      <c r="AQ37" s="72"/>
      <c r="AR37" s="518"/>
      <c r="AS37" s="72"/>
      <c r="AT37" s="72"/>
      <c r="AU37" s="518"/>
      <c r="AV37" s="518"/>
      <c r="AW37" s="518"/>
      <c r="AX37" s="518"/>
      <c r="AY37" s="518"/>
      <c r="AZ37" s="518"/>
      <c r="BA37" s="518"/>
      <c r="BB37" s="518"/>
      <c r="BC37" s="518"/>
      <c r="BD37" s="518"/>
      <c r="BE37" s="518"/>
      <c r="BF37" s="518"/>
      <c r="BG37" s="518"/>
      <c r="BH37" s="518"/>
      <c r="BI37" s="518"/>
      <c r="BJ37" s="518"/>
      <c r="BK37" s="518"/>
      <c r="BL37" s="518"/>
      <c r="BM37" s="518"/>
      <c r="BN37" s="518"/>
      <c r="BO37" s="518"/>
      <c r="BP37" s="518"/>
      <c r="BQ37" s="72"/>
      <c r="BR37" s="72"/>
      <c r="BS37" s="72"/>
      <c r="BT37" s="72"/>
      <c r="BU37" s="72"/>
      <c r="BV37" s="518"/>
      <c r="BW37" s="518"/>
      <c r="BX37" s="518"/>
    </row>
    <row r="38">
      <c r="A38" s="224"/>
      <c r="B38" s="224"/>
      <c r="C38" s="26"/>
      <c r="D38" s="224"/>
      <c r="E38" s="224"/>
      <c r="F38" s="72"/>
      <c r="G38" s="224"/>
      <c r="H38" s="224"/>
      <c r="I38" s="26"/>
      <c r="J38" s="224"/>
      <c r="K38" s="224"/>
      <c r="L38" s="26"/>
      <c r="M38" s="224"/>
      <c r="N38" s="224"/>
      <c r="O38" s="72"/>
      <c r="P38" s="72"/>
      <c r="Q38" s="224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224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</row>
    <row r="40">
      <c r="A40" s="224"/>
    </row>
    <row r="41">
      <c r="A41" s="224"/>
      <c r="L41" s="224" t="s">
        <v>692</v>
      </c>
    </row>
    <row r="42">
      <c r="A42" s="224" t="s">
        <v>693</v>
      </c>
    </row>
    <row r="47">
      <c r="AO47" s="224"/>
      <c r="AP47" s="224"/>
      <c r="AQ47" s="224"/>
      <c r="AR47" s="224" t="s">
        <v>1647</v>
      </c>
    </row>
    <row r="48">
      <c r="AR48" s="1" t="s">
        <v>12</v>
      </c>
      <c r="AS48" s="1" t="s">
        <v>13</v>
      </c>
      <c r="AU48" s="1" t="s">
        <v>14</v>
      </c>
      <c r="AV48" s="1" t="s">
        <v>15</v>
      </c>
      <c r="AY48" s="1" t="s">
        <v>1880</v>
      </c>
    </row>
    <row r="49">
      <c r="AM49" s="224" t="s">
        <v>694</v>
      </c>
      <c r="AN49" s="224"/>
      <c r="AO49" s="531"/>
      <c r="AP49" s="531"/>
      <c r="AQ49" s="531"/>
      <c r="AR49" s="531">
        <v>0.708</v>
      </c>
      <c r="AS49" s="531">
        <v>0.714</v>
      </c>
      <c r="AT49" s="531"/>
      <c r="AU49" s="72">
        <v>0.621</v>
      </c>
      <c r="AV49" s="72">
        <v>0.387</v>
      </c>
      <c r="AW49" s="72"/>
      <c r="AX49" s="531"/>
      <c r="AY49" s="531">
        <v>0.834</v>
      </c>
    </row>
    <row r="50">
      <c r="AM50" s="224" t="s">
        <v>695</v>
      </c>
      <c r="AN50" s="224"/>
      <c r="AO50" s="72"/>
      <c r="AP50" s="72"/>
      <c r="AQ50" s="72"/>
      <c r="AR50" s="72">
        <v>0.684</v>
      </c>
      <c r="AS50" s="72">
        <v>0.282</v>
      </c>
      <c r="AT50" s="72"/>
      <c r="AU50" s="531">
        <v>0.755</v>
      </c>
      <c r="AV50" s="531">
        <v>0.491</v>
      </c>
      <c r="AW50" s="531"/>
      <c r="AX50" s="72"/>
      <c r="AY50" s="72">
        <v>0.683</v>
      </c>
    </row>
  </sheetData>
  <mergeCells count="18">
    <mergeCell ref="BM3:BN3"/>
    <mergeCell ref="BV3:BX3"/>
    <mergeCell ref="Z3:AA3"/>
    <mergeCell ref="AF3:AG3"/>
    <mergeCell ref="AL3:AM3"/>
    <mergeCell ref="AO3:AP3"/>
    <mergeCell ref="AX3:AZ3"/>
    <mergeCell ref="BA3:BC3"/>
    <mergeCell ref="BD3:BE3"/>
    <mergeCell ref="A5:A14"/>
    <mergeCell ref="A15:A35"/>
    <mergeCell ref="A1:B1"/>
    <mergeCell ref="C3:D3"/>
    <mergeCell ref="F3:G3"/>
    <mergeCell ref="I3:J3"/>
    <mergeCell ref="L3:M3"/>
    <mergeCell ref="O3:Q3"/>
    <mergeCell ref="R3:S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C2" s="224" t="s">
        <v>1647</v>
      </c>
    </row>
    <row r="4">
      <c r="C4" s="1" t="s">
        <v>12</v>
      </c>
      <c r="D4" s="1" t="s">
        <v>13</v>
      </c>
      <c r="E4" s="1" t="s">
        <v>14</v>
      </c>
      <c r="F4" s="1" t="s">
        <v>15</v>
      </c>
      <c r="G4" s="1" t="s">
        <v>1880</v>
      </c>
    </row>
    <row r="5">
      <c r="B5" s="224" t="s">
        <v>694</v>
      </c>
      <c r="C5" s="531">
        <v>0.708</v>
      </c>
      <c r="D5" s="531">
        <v>0.714</v>
      </c>
      <c r="E5" s="72">
        <v>0.621</v>
      </c>
      <c r="F5" s="72">
        <v>0.387</v>
      </c>
      <c r="G5" s="531">
        <v>0.834</v>
      </c>
    </row>
    <row r="6">
      <c r="B6" s="224" t="s">
        <v>695</v>
      </c>
      <c r="C6" s="72">
        <v>0.684</v>
      </c>
      <c r="D6" s="72">
        <v>0.282</v>
      </c>
      <c r="E6" s="531">
        <v>0.755</v>
      </c>
      <c r="F6" s="531">
        <v>0.491</v>
      </c>
      <c r="G6" s="72">
        <v>0.683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24" t="s">
        <v>2041</v>
      </c>
      <c r="B1" s="224" t="s">
        <v>2042</v>
      </c>
      <c r="C1" s="224" t="s">
        <v>2043</v>
      </c>
      <c r="D1" s="224" t="s">
        <v>2044</v>
      </c>
    </row>
    <row r="2">
      <c r="A2" s="224" t="s">
        <v>2045</v>
      </c>
      <c r="B2" s="224" t="s">
        <v>2046</v>
      </c>
      <c r="C2" s="224" t="s">
        <v>2047</v>
      </c>
      <c r="D2" s="224" t="s">
        <v>2048</v>
      </c>
    </row>
    <row r="3">
      <c r="A3" s="224" t="s">
        <v>2045</v>
      </c>
      <c r="B3" s="224" t="s">
        <v>2046</v>
      </c>
      <c r="C3" s="224" t="s">
        <v>2049</v>
      </c>
      <c r="D3" s="678" t="s">
        <v>2050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0.0"/>
    <col customWidth="1" min="2" max="2" width="26.71"/>
    <col customWidth="1" min="3" max="3" width="9.57"/>
    <col customWidth="1" min="4" max="5" width="11.86"/>
    <col customWidth="1" min="6" max="6" width="9.43"/>
    <col customWidth="1" min="9" max="9" width="8.0"/>
    <col customWidth="1" min="12" max="12" width="11.29"/>
    <col customWidth="1" min="15" max="15" width="9.71"/>
    <col customWidth="1" min="16" max="16" width="14.57"/>
    <col customWidth="1" min="17" max="17" width="11.57"/>
    <col customWidth="1" min="18" max="18" width="9.71"/>
    <col customWidth="1" min="19" max="19" width="11.14"/>
    <col customWidth="1" min="20" max="20" width="9.71"/>
    <col customWidth="1" min="21" max="21" width="12.71"/>
    <col customWidth="1" min="22" max="22" width="9.71"/>
    <col customWidth="1" min="23" max="23" width="12.0"/>
    <col customWidth="1" min="24" max="26" width="9.71"/>
    <col customWidth="1" min="27" max="27" width="11.86"/>
    <col customWidth="1" min="28" max="36" width="9.71"/>
    <col customWidth="1" min="37" max="41" width="11.71"/>
    <col customWidth="1" min="42" max="42" width="10.71"/>
    <col customWidth="1" min="43" max="43" width="12.14"/>
    <col customWidth="1" min="44" max="44" width="12.43"/>
    <col customWidth="1" min="45" max="45" width="11.0"/>
    <col customWidth="1" min="46" max="46" width="12.57"/>
    <col customWidth="1" min="47" max="47" width="15.57"/>
    <col customWidth="1" hidden="1" min="48" max="48" width="8.0"/>
    <col customWidth="1" min="49" max="49" width="12.57"/>
    <col customWidth="1" min="50" max="50" width="13.57"/>
    <col customWidth="1" min="51" max="51" width="6.57"/>
    <col customWidth="1" min="52" max="52" width="13.43"/>
    <col customWidth="1" min="53" max="53" width="12.14"/>
    <col hidden="1" min="54" max="63" width="14.43"/>
    <col customWidth="1" hidden="1" min="64" max="64" width="11.57"/>
    <col hidden="1" min="65" max="69" width="14.43"/>
    <col hidden="1" min="73" max="73" width="14.43"/>
    <col hidden="1" min="77" max="77" width="14.43"/>
  </cols>
  <sheetData>
    <row r="1">
      <c r="A1" s="483" t="s">
        <v>2051</v>
      </c>
      <c r="C1" s="224"/>
    </row>
    <row r="2">
      <c r="A2" s="483" t="s">
        <v>2052</v>
      </c>
      <c r="C2" s="484" t="s">
        <v>2</v>
      </c>
      <c r="R2" s="484" t="s">
        <v>3</v>
      </c>
      <c r="W2" s="224" t="s">
        <v>692</v>
      </c>
      <c r="AB2" s="484" t="s">
        <v>4</v>
      </c>
      <c r="AP2" s="484" t="s">
        <v>5</v>
      </c>
      <c r="BH2" s="484" t="s">
        <v>1650</v>
      </c>
      <c r="BQ2" s="484" t="s">
        <v>6</v>
      </c>
      <c r="BR2" s="484" t="s">
        <v>6</v>
      </c>
      <c r="CF2" s="484" t="s">
        <v>1651</v>
      </c>
      <c r="CG2" s="484" t="s">
        <v>1652</v>
      </c>
    </row>
    <row r="3">
      <c r="A3" s="224"/>
      <c r="B3" s="224"/>
      <c r="C3" s="180" t="s">
        <v>12</v>
      </c>
      <c r="D3" s="485"/>
      <c r="E3" s="486"/>
      <c r="F3" s="486" t="s">
        <v>13</v>
      </c>
      <c r="G3" s="485"/>
      <c r="H3" s="486"/>
      <c r="I3" s="486" t="s">
        <v>14</v>
      </c>
      <c r="J3" s="485"/>
      <c r="K3" s="486"/>
      <c r="L3" s="486" t="s">
        <v>15</v>
      </c>
      <c r="M3" s="485"/>
      <c r="N3" s="486"/>
      <c r="O3" s="486" t="s">
        <v>16</v>
      </c>
      <c r="P3" s="485"/>
      <c r="Q3" s="487"/>
      <c r="R3" s="488" t="s">
        <v>18</v>
      </c>
      <c r="S3" s="485"/>
      <c r="T3" s="489" t="s">
        <v>19</v>
      </c>
      <c r="U3" s="489"/>
      <c r="V3" s="489" t="s">
        <v>20</v>
      </c>
      <c r="W3" s="489"/>
      <c r="X3" s="663" t="s">
        <v>21</v>
      </c>
      <c r="Y3" s="663"/>
      <c r="Z3" s="489" t="s">
        <v>22</v>
      </c>
      <c r="AA3" s="487"/>
      <c r="AB3" s="180" t="s">
        <v>23</v>
      </c>
      <c r="AC3" s="486"/>
      <c r="AD3" s="486" t="s">
        <v>24</v>
      </c>
      <c r="AE3" s="486"/>
      <c r="AF3" s="486" t="s">
        <v>25</v>
      </c>
      <c r="AG3" s="485"/>
      <c r="AH3" s="486" t="s">
        <v>26</v>
      </c>
      <c r="AI3" s="486"/>
      <c r="AJ3" s="486" t="s">
        <v>27</v>
      </c>
      <c r="AK3" s="188"/>
      <c r="AL3" s="486" t="s">
        <v>28</v>
      </c>
      <c r="AM3" s="188"/>
      <c r="AN3" s="486" t="s">
        <v>29</v>
      </c>
      <c r="AO3" s="188"/>
      <c r="AP3" s="180" t="s">
        <v>31</v>
      </c>
      <c r="AQ3" s="485"/>
      <c r="AR3" s="486"/>
      <c r="AS3" s="486" t="s">
        <v>32</v>
      </c>
      <c r="AT3" s="485"/>
      <c r="AU3" s="486"/>
      <c r="AV3" s="486" t="s">
        <v>808</v>
      </c>
      <c r="AW3" s="486" t="s">
        <v>33</v>
      </c>
      <c r="AX3" s="486"/>
      <c r="AY3" s="489" t="s">
        <v>34</v>
      </c>
      <c r="AZ3" s="489"/>
      <c r="BA3" s="490"/>
      <c r="BB3" s="637" t="s">
        <v>1653</v>
      </c>
      <c r="BC3" s="485"/>
      <c r="BD3" s="485"/>
      <c r="BE3" s="637" t="s">
        <v>1654</v>
      </c>
      <c r="BF3" s="485"/>
      <c r="BG3" s="487"/>
      <c r="BH3" s="486" t="s">
        <v>1655</v>
      </c>
      <c r="BI3" s="485"/>
      <c r="BJ3" s="486"/>
      <c r="BK3" s="486" t="s">
        <v>1656</v>
      </c>
      <c r="BL3" s="486"/>
      <c r="BM3" s="486"/>
      <c r="BN3" s="486" t="s">
        <v>1657</v>
      </c>
      <c r="BO3" s="486"/>
      <c r="BP3" s="486"/>
      <c r="BQ3" s="640" t="s">
        <v>36</v>
      </c>
      <c r="BS3" s="489"/>
      <c r="BT3" s="485"/>
      <c r="BU3" s="486"/>
      <c r="BV3" s="486" t="s">
        <v>37</v>
      </c>
      <c r="BW3" s="486"/>
      <c r="BX3" s="486"/>
      <c r="BY3" s="486"/>
      <c r="BZ3" s="486" t="s">
        <v>38</v>
      </c>
      <c r="CA3" s="486"/>
      <c r="CB3" s="486"/>
      <c r="CC3" s="489" t="s">
        <v>39</v>
      </c>
      <c r="CD3" s="485"/>
      <c r="CE3" s="487"/>
      <c r="CF3" s="638"/>
      <c r="CG3" s="638"/>
    </row>
    <row r="4">
      <c r="C4" s="491" t="s">
        <v>44</v>
      </c>
      <c r="D4" s="492" t="s">
        <v>809</v>
      </c>
      <c r="E4" s="492" t="s">
        <v>810</v>
      </c>
      <c r="F4" s="492" t="s">
        <v>44</v>
      </c>
      <c r="G4" s="492" t="s">
        <v>809</v>
      </c>
      <c r="H4" s="492" t="s">
        <v>810</v>
      </c>
      <c r="I4" s="492" t="s">
        <v>44</v>
      </c>
      <c r="J4" s="492" t="s">
        <v>809</v>
      </c>
      <c r="K4" s="492" t="s">
        <v>810</v>
      </c>
      <c r="L4" s="492" t="s">
        <v>44</v>
      </c>
      <c r="M4" s="492" t="s">
        <v>809</v>
      </c>
      <c r="N4" s="492" t="s">
        <v>810</v>
      </c>
      <c r="O4" s="224" t="s">
        <v>44</v>
      </c>
      <c r="P4" s="492" t="s">
        <v>809</v>
      </c>
      <c r="Q4" s="324" t="s">
        <v>810</v>
      </c>
      <c r="R4" s="493" t="s">
        <v>44</v>
      </c>
      <c r="S4" s="494" t="s">
        <v>809</v>
      </c>
      <c r="T4" s="494" t="s">
        <v>44</v>
      </c>
      <c r="U4" s="494" t="s">
        <v>809</v>
      </c>
      <c r="V4" s="494" t="s">
        <v>44</v>
      </c>
      <c r="W4" s="494" t="s">
        <v>809</v>
      </c>
      <c r="X4" s="664" t="s">
        <v>44</v>
      </c>
      <c r="Y4" s="664" t="s">
        <v>809</v>
      </c>
      <c r="Z4" s="494" t="s">
        <v>44</v>
      </c>
      <c r="AA4" s="495" t="s">
        <v>809</v>
      </c>
      <c r="AB4" s="491" t="s">
        <v>44</v>
      </c>
      <c r="AC4" s="492" t="s">
        <v>809</v>
      </c>
      <c r="AD4" s="492" t="s">
        <v>44</v>
      </c>
      <c r="AE4" s="492" t="s">
        <v>809</v>
      </c>
      <c r="AF4" s="492" t="s">
        <v>44</v>
      </c>
      <c r="AG4" s="492" t="s">
        <v>809</v>
      </c>
      <c r="AH4" s="492" t="s">
        <v>44</v>
      </c>
      <c r="AI4" s="492" t="s">
        <v>809</v>
      </c>
      <c r="AJ4" s="492" t="s">
        <v>44</v>
      </c>
      <c r="AK4" s="492" t="s">
        <v>809</v>
      </c>
      <c r="AL4" s="492" t="s">
        <v>44</v>
      </c>
      <c r="AM4" s="492" t="s">
        <v>809</v>
      </c>
      <c r="AN4" s="492" t="s">
        <v>44</v>
      </c>
      <c r="AO4" s="492" t="s">
        <v>809</v>
      </c>
      <c r="AP4" s="491" t="s">
        <v>44</v>
      </c>
      <c r="AQ4" s="492" t="s">
        <v>809</v>
      </c>
      <c r="AR4" s="492" t="s">
        <v>810</v>
      </c>
      <c r="AS4" s="492" t="s">
        <v>44</v>
      </c>
      <c r="AT4" s="492" t="s">
        <v>809</v>
      </c>
      <c r="AU4" s="492" t="s">
        <v>810</v>
      </c>
      <c r="AV4" s="494" t="s">
        <v>44</v>
      </c>
      <c r="AW4" s="492" t="s">
        <v>809</v>
      </c>
      <c r="AX4" s="492" t="s">
        <v>810</v>
      </c>
      <c r="AY4" s="494" t="s">
        <v>44</v>
      </c>
      <c r="AZ4" s="494" t="s">
        <v>809</v>
      </c>
      <c r="BA4" s="495" t="s">
        <v>810</v>
      </c>
      <c r="BB4" s="639" t="s">
        <v>1659</v>
      </c>
      <c r="BC4" s="639" t="s">
        <v>809</v>
      </c>
      <c r="BD4" s="639" t="s">
        <v>810</v>
      </c>
      <c r="BE4" s="639" t="s">
        <v>1659</v>
      </c>
      <c r="BF4" s="639" t="s">
        <v>809</v>
      </c>
      <c r="BG4" s="639" t="s">
        <v>810</v>
      </c>
      <c r="BH4" s="491" t="s">
        <v>44</v>
      </c>
      <c r="BI4" s="492" t="s">
        <v>809</v>
      </c>
      <c r="BJ4" s="492" t="s">
        <v>810</v>
      </c>
      <c r="BK4" s="492" t="s">
        <v>44</v>
      </c>
      <c r="BL4" s="492" t="s">
        <v>809</v>
      </c>
      <c r="BM4" s="492" t="s">
        <v>810</v>
      </c>
      <c r="BN4" s="492" t="s">
        <v>44</v>
      </c>
      <c r="BO4" s="492" t="s">
        <v>809</v>
      </c>
      <c r="BP4" s="492" t="s">
        <v>810</v>
      </c>
      <c r="BQ4" s="640" t="s">
        <v>44</v>
      </c>
      <c r="BR4" s="494" t="s">
        <v>809</v>
      </c>
      <c r="BS4" s="494" t="s">
        <v>811</v>
      </c>
      <c r="BT4" s="494" t="s">
        <v>810</v>
      </c>
      <c r="BU4" s="494" t="s">
        <v>44</v>
      </c>
      <c r="BV4" s="492" t="s">
        <v>809</v>
      </c>
      <c r="BW4" s="492" t="s">
        <v>811</v>
      </c>
      <c r="BX4" s="492" t="s">
        <v>810</v>
      </c>
      <c r="BY4" s="492" t="s">
        <v>44</v>
      </c>
      <c r="BZ4" s="492" t="s">
        <v>809</v>
      </c>
      <c r="CA4" s="492" t="s">
        <v>811</v>
      </c>
      <c r="CB4" s="492" t="s">
        <v>810</v>
      </c>
      <c r="CC4" s="494" t="s">
        <v>44</v>
      </c>
      <c r="CD4" s="495" t="s">
        <v>809</v>
      </c>
      <c r="CE4" s="495" t="s">
        <v>810</v>
      </c>
    </row>
    <row r="5">
      <c r="A5" s="180" t="s">
        <v>52</v>
      </c>
      <c r="B5" s="496" t="s">
        <v>53</v>
      </c>
      <c r="C5" s="457">
        <v>0.832</v>
      </c>
      <c r="D5" s="457" t="s">
        <v>1660</v>
      </c>
      <c r="E5" s="457" t="s">
        <v>1661</v>
      </c>
      <c r="F5" s="457">
        <v>0.341</v>
      </c>
      <c r="G5" s="457" t="s">
        <v>1662</v>
      </c>
      <c r="H5" s="457" t="s">
        <v>815</v>
      </c>
      <c r="I5" s="457">
        <v>0.793</v>
      </c>
      <c r="J5" s="457" t="s">
        <v>1663</v>
      </c>
      <c r="K5" s="457" t="s">
        <v>817</v>
      </c>
      <c r="L5" s="457">
        <v>0.632</v>
      </c>
      <c r="M5" s="457" t="s">
        <v>1664</v>
      </c>
      <c r="N5" s="72" t="s">
        <v>1665</v>
      </c>
      <c r="O5" s="457">
        <v>0.835</v>
      </c>
      <c r="P5" s="457" t="s">
        <v>820</v>
      </c>
      <c r="Q5" s="679" t="s">
        <v>821</v>
      </c>
      <c r="R5" s="581"/>
      <c r="S5" s="507" t="s">
        <v>1666</v>
      </c>
      <c r="T5" s="507"/>
      <c r="U5" s="507" t="s">
        <v>825</v>
      </c>
      <c r="V5" s="507"/>
      <c r="W5" s="507" t="s">
        <v>826</v>
      </c>
      <c r="X5" s="665"/>
      <c r="Y5" s="665"/>
      <c r="Z5" s="641"/>
      <c r="AA5" s="585" t="s">
        <v>1667</v>
      </c>
      <c r="AB5" s="505"/>
      <c r="AC5" s="457" t="s">
        <v>829</v>
      </c>
      <c r="AD5" s="457"/>
      <c r="AE5" s="457" t="s">
        <v>830</v>
      </c>
      <c r="AF5" s="457"/>
      <c r="AG5" s="457" t="s">
        <v>831</v>
      </c>
      <c r="AH5" s="457"/>
      <c r="AI5" s="457" t="s">
        <v>832</v>
      </c>
      <c r="AJ5" s="457"/>
      <c r="AK5" s="224" t="s">
        <v>833</v>
      </c>
      <c r="AL5" s="224"/>
      <c r="AM5" s="486"/>
      <c r="AN5" s="486"/>
      <c r="AO5" s="486"/>
      <c r="AP5" s="505" t="s">
        <v>98</v>
      </c>
      <c r="AQ5" s="457" t="s">
        <v>834</v>
      </c>
      <c r="AR5" s="457" t="s">
        <v>835</v>
      </c>
      <c r="AS5" s="72" t="s">
        <v>102</v>
      </c>
      <c r="AT5" s="72" t="s">
        <v>836</v>
      </c>
      <c r="AU5" s="457" t="s">
        <v>837</v>
      </c>
      <c r="AV5" s="507">
        <v>0.993</v>
      </c>
      <c r="AW5" s="457" t="s">
        <v>838</v>
      </c>
      <c r="AX5" s="457" t="s">
        <v>839</v>
      </c>
      <c r="AY5" s="507"/>
      <c r="AZ5" s="507"/>
      <c r="BA5" s="585"/>
      <c r="BB5" s="642"/>
      <c r="BC5" s="642"/>
      <c r="BD5" s="643"/>
      <c r="BE5" s="643"/>
      <c r="BF5" s="643"/>
      <c r="BG5" s="643"/>
      <c r="BH5" s="505"/>
      <c r="BI5" s="457"/>
      <c r="BJ5" s="457"/>
      <c r="BK5" s="457"/>
      <c r="BL5" s="457"/>
      <c r="BM5" s="457"/>
      <c r="BN5" s="457"/>
      <c r="BO5" s="457"/>
      <c r="BP5" s="457"/>
      <c r="BQ5" s="517"/>
      <c r="BR5" s="518"/>
      <c r="BS5" s="507"/>
      <c r="BT5" s="507"/>
      <c r="BU5" s="507"/>
      <c r="BV5" s="72" t="s">
        <v>845</v>
      </c>
      <c r="BW5" s="72"/>
      <c r="BX5" s="457" t="s">
        <v>847</v>
      </c>
      <c r="BY5" s="507"/>
      <c r="BZ5" s="457" t="s">
        <v>848</v>
      </c>
      <c r="CA5" s="457"/>
      <c r="CB5" s="457" t="s">
        <v>850</v>
      </c>
      <c r="CC5" s="507"/>
      <c r="CD5" s="507"/>
      <c r="CE5" s="585"/>
    </row>
    <row r="6">
      <c r="A6" s="513"/>
      <c r="B6" s="514" t="s">
        <v>114</v>
      </c>
      <c r="C6" s="72">
        <v>0.903</v>
      </c>
      <c r="D6" s="72" t="s">
        <v>853</v>
      </c>
      <c r="E6" s="72" t="s">
        <v>854</v>
      </c>
      <c r="F6" s="72">
        <v>0.359</v>
      </c>
      <c r="G6" s="72" t="s">
        <v>855</v>
      </c>
      <c r="H6" s="72" t="s">
        <v>856</v>
      </c>
      <c r="I6" s="531">
        <v>0.81</v>
      </c>
      <c r="J6" s="72" t="s">
        <v>857</v>
      </c>
      <c r="K6" s="72" t="s">
        <v>856</v>
      </c>
      <c r="L6" s="72">
        <v>0.705</v>
      </c>
      <c r="M6" s="72" t="s">
        <v>858</v>
      </c>
      <c r="N6" s="72" t="s">
        <v>859</v>
      </c>
      <c r="O6" s="531">
        <v>0.935</v>
      </c>
      <c r="P6" s="72" t="s">
        <v>860</v>
      </c>
      <c r="Q6" s="72" t="s">
        <v>861</v>
      </c>
      <c r="R6" s="517">
        <v>0.525</v>
      </c>
      <c r="S6" s="518" t="s">
        <v>864</v>
      </c>
      <c r="T6" s="518">
        <v>0.11</v>
      </c>
      <c r="U6" s="518" t="s">
        <v>865</v>
      </c>
      <c r="V6" s="518">
        <v>0.544</v>
      </c>
      <c r="W6" s="518" t="s">
        <v>866</v>
      </c>
      <c r="X6" s="666"/>
      <c r="Y6" s="666"/>
      <c r="Z6" s="520">
        <v>0.373</v>
      </c>
      <c r="AA6" s="521" t="s">
        <v>868</v>
      </c>
      <c r="AB6" s="522"/>
      <c r="AC6" s="72" t="s">
        <v>869</v>
      </c>
      <c r="AD6" s="72"/>
      <c r="AE6" s="72" t="s">
        <v>870</v>
      </c>
      <c r="AF6" s="72"/>
      <c r="AG6" s="72" t="s">
        <v>871</v>
      </c>
      <c r="AH6" s="72"/>
      <c r="AI6" s="72" t="s">
        <v>872</v>
      </c>
      <c r="AJ6" s="72"/>
      <c r="AK6" s="224" t="s">
        <v>873</v>
      </c>
      <c r="AL6" s="224"/>
      <c r="AM6" s="224"/>
      <c r="AN6" s="224"/>
      <c r="AO6" s="224"/>
      <c r="AP6" s="72">
        <v>0.907</v>
      </c>
      <c r="AQ6" s="72" t="s">
        <v>875</v>
      </c>
      <c r="AR6" s="72" t="s">
        <v>876</v>
      </c>
      <c r="AS6" s="72">
        <v>0.872</v>
      </c>
      <c r="AT6" s="72" t="s">
        <v>877</v>
      </c>
      <c r="AU6" s="72" t="s">
        <v>878</v>
      </c>
      <c r="AV6" s="518">
        <v>0.998</v>
      </c>
      <c r="AW6" s="72" t="s">
        <v>879</v>
      </c>
      <c r="AX6" s="72" t="s">
        <v>880</v>
      </c>
      <c r="AY6" s="518"/>
      <c r="AZ6" s="518" t="s">
        <v>1669</v>
      </c>
      <c r="BA6" s="521" t="s">
        <v>1670</v>
      </c>
      <c r="BB6" s="642"/>
      <c r="BC6" s="642"/>
      <c r="BD6" s="642"/>
      <c r="BE6" s="642"/>
      <c r="BF6" s="642"/>
      <c r="BG6" s="642"/>
      <c r="BH6" s="522"/>
      <c r="BI6" s="72"/>
      <c r="BJ6" s="72"/>
      <c r="BK6" s="72"/>
      <c r="BL6" s="72"/>
      <c r="BM6" s="72"/>
      <c r="BN6" s="72"/>
      <c r="BO6" s="72"/>
      <c r="BP6" s="72"/>
      <c r="BQ6" s="517"/>
      <c r="BR6" s="518" t="s">
        <v>1887</v>
      </c>
      <c r="BS6" s="518"/>
      <c r="BT6" s="518"/>
      <c r="BU6" s="518"/>
      <c r="BV6" s="72" t="s">
        <v>885</v>
      </c>
      <c r="BW6" s="72"/>
      <c r="BX6" s="72" t="s">
        <v>887</v>
      </c>
      <c r="BY6" s="518"/>
      <c r="BZ6" s="72" t="s">
        <v>888</v>
      </c>
      <c r="CA6" s="72"/>
      <c r="CB6" s="72" t="s">
        <v>890</v>
      </c>
      <c r="CC6" s="518"/>
      <c r="CD6" s="518"/>
      <c r="CE6" s="521"/>
    </row>
    <row r="7">
      <c r="A7" s="513"/>
      <c r="B7" s="514" t="s">
        <v>1672</v>
      </c>
      <c r="C7" s="522">
        <v>0.85</v>
      </c>
      <c r="D7" s="72" t="s">
        <v>905</v>
      </c>
      <c r="E7" s="72" t="s">
        <v>906</v>
      </c>
      <c r="F7" s="72">
        <v>0.247</v>
      </c>
      <c r="G7" s="72" t="s">
        <v>907</v>
      </c>
      <c r="H7" s="72" t="s">
        <v>908</v>
      </c>
      <c r="I7" s="72">
        <v>0.778</v>
      </c>
      <c r="J7" s="72" t="s">
        <v>909</v>
      </c>
      <c r="K7" s="72" t="s">
        <v>910</v>
      </c>
      <c r="L7" s="72">
        <v>0.635</v>
      </c>
      <c r="M7" s="72" t="s">
        <v>911</v>
      </c>
      <c r="N7" s="72" t="s">
        <v>912</v>
      </c>
      <c r="O7" s="527">
        <v>0.705</v>
      </c>
      <c r="P7" s="72" t="s">
        <v>913</v>
      </c>
      <c r="Q7" s="540" t="s">
        <v>914</v>
      </c>
      <c r="R7" s="517">
        <v>0.403</v>
      </c>
      <c r="S7" s="518" t="s">
        <v>917</v>
      </c>
      <c r="T7" s="518">
        <v>0.077</v>
      </c>
      <c r="U7" s="518" t="s">
        <v>918</v>
      </c>
      <c r="V7" s="518">
        <v>0.475</v>
      </c>
      <c r="W7" s="518" t="s">
        <v>919</v>
      </c>
      <c r="X7" s="667"/>
      <c r="Y7" s="667"/>
      <c r="Z7" s="520">
        <v>0.265</v>
      </c>
      <c r="AA7" s="529" t="s">
        <v>921</v>
      </c>
      <c r="AB7" s="530"/>
      <c r="AC7" s="527" t="s">
        <v>922</v>
      </c>
      <c r="AD7" s="531"/>
      <c r="AE7" s="72" t="s">
        <v>923</v>
      </c>
      <c r="AF7" s="531"/>
      <c r="AG7" s="72" t="s">
        <v>924</v>
      </c>
      <c r="AH7" s="531"/>
      <c r="AI7" s="527" t="s">
        <v>925</v>
      </c>
      <c r="AJ7" s="531"/>
      <c r="AK7" s="533" t="s">
        <v>926</v>
      </c>
      <c r="AL7" s="533"/>
      <c r="AM7" s="533"/>
      <c r="AN7" s="533"/>
      <c r="AO7" s="533"/>
      <c r="AV7" s="543"/>
      <c r="AW7" s="531"/>
      <c r="AX7" s="531"/>
      <c r="AY7" s="543"/>
      <c r="AZ7" s="543"/>
      <c r="BA7" s="644"/>
      <c r="BB7" s="645"/>
      <c r="BC7" s="645"/>
      <c r="BD7" s="645"/>
      <c r="BE7" s="645"/>
      <c r="BF7" s="645"/>
      <c r="BG7" s="645"/>
      <c r="BH7" s="530"/>
      <c r="BI7" s="531"/>
      <c r="BJ7" s="531"/>
      <c r="BK7" s="531"/>
      <c r="BL7" s="531"/>
      <c r="BM7" s="531"/>
      <c r="BN7" s="531"/>
      <c r="BO7" s="531"/>
      <c r="BP7" s="531"/>
      <c r="BQ7" s="646"/>
      <c r="BR7" s="518"/>
      <c r="BS7" s="518"/>
      <c r="BT7" s="543"/>
      <c r="BU7" s="543"/>
      <c r="BV7" s="531"/>
      <c r="BW7" s="531"/>
      <c r="BX7" s="531"/>
      <c r="BY7" s="543"/>
      <c r="BZ7" s="531"/>
      <c r="CA7" s="531"/>
      <c r="CB7" s="531"/>
      <c r="CC7" s="543"/>
      <c r="CD7" s="543"/>
      <c r="CE7" s="644"/>
    </row>
    <row r="8">
      <c r="A8" s="513"/>
      <c r="B8" s="514" t="s">
        <v>1673</v>
      </c>
      <c r="C8" s="522">
        <v>0.867</v>
      </c>
      <c r="D8" s="72" t="s">
        <v>945</v>
      </c>
      <c r="E8" s="72" t="s">
        <v>946</v>
      </c>
      <c r="F8" s="72">
        <v>0.388</v>
      </c>
      <c r="G8" s="527" t="s">
        <v>947</v>
      </c>
      <c r="H8" s="527" t="s">
        <v>948</v>
      </c>
      <c r="I8" s="72">
        <v>0.782</v>
      </c>
      <c r="J8" s="72" t="s">
        <v>949</v>
      </c>
      <c r="K8" s="72" t="s">
        <v>950</v>
      </c>
      <c r="L8" s="72">
        <v>0.654</v>
      </c>
      <c r="M8" s="527" t="s">
        <v>951</v>
      </c>
      <c r="N8" s="527" t="s">
        <v>952</v>
      </c>
      <c r="O8" s="72">
        <v>0.899</v>
      </c>
      <c r="P8" s="72" t="s">
        <v>953</v>
      </c>
      <c r="Q8" s="540" t="s">
        <v>952</v>
      </c>
      <c r="R8" s="517">
        <v>0.467</v>
      </c>
      <c r="S8" s="224" t="s">
        <v>956</v>
      </c>
      <c r="T8" s="518">
        <v>0.106</v>
      </c>
      <c r="U8" s="518" t="s">
        <v>957</v>
      </c>
      <c r="V8" s="518">
        <v>0.541</v>
      </c>
      <c r="W8" s="518" t="s">
        <v>826</v>
      </c>
      <c r="X8" s="666"/>
      <c r="Y8" s="666"/>
      <c r="Z8" s="520">
        <v>0.43</v>
      </c>
      <c r="AA8" s="521" t="s">
        <v>959</v>
      </c>
      <c r="AB8" s="522"/>
      <c r="AC8" s="72" t="s">
        <v>960</v>
      </c>
      <c r="AD8" s="72"/>
      <c r="AE8" s="72" t="s">
        <v>961</v>
      </c>
      <c r="AF8" s="72"/>
      <c r="AG8" s="224" t="s">
        <v>962</v>
      </c>
      <c r="AH8" s="72"/>
      <c r="AI8" s="72" t="s">
        <v>963</v>
      </c>
      <c r="AJ8" s="72"/>
      <c r="AK8" s="527" t="s">
        <v>964</v>
      </c>
      <c r="AL8" s="527"/>
      <c r="AM8" s="527"/>
      <c r="AN8" s="527"/>
      <c r="AO8" s="527"/>
      <c r="AP8" s="522" t="s">
        <v>245</v>
      </c>
      <c r="AQ8" s="527" t="s">
        <v>965</v>
      </c>
      <c r="AR8" s="527" t="s">
        <v>966</v>
      </c>
      <c r="AS8" s="541" t="s">
        <v>2053</v>
      </c>
      <c r="AT8" s="531" t="s">
        <v>2054</v>
      </c>
      <c r="AU8" s="72" t="s">
        <v>969</v>
      </c>
      <c r="AV8" s="518" t="s">
        <v>970</v>
      </c>
      <c r="AW8" s="72" t="s">
        <v>971</v>
      </c>
      <c r="AX8" s="531" t="s">
        <v>2055</v>
      </c>
      <c r="AY8" s="518"/>
      <c r="AZ8" s="518"/>
      <c r="BA8" s="521"/>
      <c r="BB8" s="642"/>
      <c r="BC8" s="642"/>
      <c r="BD8" s="642"/>
      <c r="BE8" s="642"/>
      <c r="BF8" s="642"/>
      <c r="BG8" s="642"/>
      <c r="BH8" s="522"/>
      <c r="BI8" s="72"/>
      <c r="BJ8" s="72"/>
      <c r="BK8" s="72"/>
      <c r="BL8" s="72"/>
      <c r="BM8" s="72"/>
      <c r="BN8" s="72"/>
      <c r="BO8" s="72"/>
      <c r="BP8" s="72"/>
      <c r="BQ8" s="517"/>
      <c r="BR8" s="518"/>
      <c r="BS8" s="518"/>
      <c r="BT8" s="518"/>
      <c r="BU8" s="518"/>
      <c r="BV8" s="72" t="s">
        <v>977</v>
      </c>
      <c r="BW8" s="72"/>
      <c r="BX8" s="72" t="s">
        <v>979</v>
      </c>
      <c r="BY8" s="518"/>
      <c r="BZ8" s="72" t="s">
        <v>980</v>
      </c>
      <c r="CA8" s="72"/>
      <c r="CB8" s="72" t="s">
        <v>982</v>
      </c>
      <c r="CC8" s="518"/>
      <c r="CD8" s="518"/>
      <c r="CE8" s="521"/>
    </row>
    <row r="9">
      <c r="A9" s="513"/>
      <c r="B9" s="514" t="s">
        <v>261</v>
      </c>
      <c r="C9" s="522">
        <v>0.852</v>
      </c>
      <c r="D9" s="527" t="s">
        <v>985</v>
      </c>
      <c r="E9" s="527" t="s">
        <v>986</v>
      </c>
      <c r="F9" s="72">
        <v>0.318</v>
      </c>
      <c r="G9" s="527" t="s">
        <v>987</v>
      </c>
      <c r="H9" s="527" t="s">
        <v>988</v>
      </c>
      <c r="I9" s="72">
        <v>0.769</v>
      </c>
      <c r="J9" s="72" t="s">
        <v>989</v>
      </c>
      <c r="K9" s="72" t="s">
        <v>990</v>
      </c>
      <c r="L9" s="72">
        <v>0.6615</v>
      </c>
      <c r="M9" s="72" t="s">
        <v>991</v>
      </c>
      <c r="N9" s="72" t="s">
        <v>992</v>
      </c>
      <c r="O9" s="72">
        <v>0.77</v>
      </c>
      <c r="P9" s="72" t="s">
        <v>993</v>
      </c>
      <c r="Q9" s="540" t="s">
        <v>994</v>
      </c>
      <c r="R9" s="517">
        <v>0.465</v>
      </c>
      <c r="S9" s="518" t="s">
        <v>997</v>
      </c>
      <c r="T9" s="518">
        <v>0.111</v>
      </c>
      <c r="U9" s="518"/>
      <c r="V9" s="518">
        <v>0.472</v>
      </c>
      <c r="W9" s="518" t="s">
        <v>998</v>
      </c>
      <c r="X9" s="666"/>
      <c r="Y9" s="666" t="s">
        <v>999</v>
      </c>
      <c r="Z9" s="520">
        <v>0.309</v>
      </c>
      <c r="AA9" s="521" t="s">
        <v>1000</v>
      </c>
      <c r="AB9" s="517">
        <v>0.146</v>
      </c>
      <c r="AC9" s="72" t="s">
        <v>1001</v>
      </c>
      <c r="AD9" s="72"/>
      <c r="AE9" s="72" t="s">
        <v>1002</v>
      </c>
      <c r="AF9" s="72"/>
      <c r="AG9" s="72" t="s">
        <v>1003</v>
      </c>
      <c r="AH9" s="72"/>
      <c r="AI9" s="72" t="s">
        <v>1004</v>
      </c>
      <c r="AJ9" s="72"/>
      <c r="AK9" s="527" t="s">
        <v>1005</v>
      </c>
      <c r="AL9" s="527"/>
      <c r="AM9" s="527"/>
      <c r="AN9" s="527"/>
      <c r="AO9" s="527"/>
      <c r="AP9" s="522"/>
      <c r="AQ9" s="72" t="s">
        <v>1008</v>
      </c>
      <c r="AR9" s="224" t="s">
        <v>1007</v>
      </c>
      <c r="AS9" s="72"/>
      <c r="AT9" s="224" t="s">
        <v>1677</v>
      </c>
      <c r="AU9" s="72" t="s">
        <v>1677</v>
      </c>
      <c r="AV9" s="518"/>
      <c r="AW9" s="72" t="s">
        <v>1010</v>
      </c>
      <c r="AX9" s="72" t="s">
        <v>1011</v>
      </c>
      <c r="AY9" s="518"/>
      <c r="AZ9" s="518"/>
      <c r="BA9" s="521"/>
      <c r="BB9" s="642"/>
      <c r="BC9" s="642"/>
      <c r="BD9" s="642"/>
      <c r="BE9" s="642"/>
      <c r="BF9" s="642"/>
      <c r="BG9" s="642"/>
      <c r="BH9" s="522"/>
      <c r="BI9" s="72"/>
      <c r="BJ9" s="72"/>
      <c r="BK9" s="72"/>
      <c r="BL9" s="72"/>
      <c r="BM9" s="72"/>
      <c r="BN9" s="72"/>
      <c r="BO9" s="72"/>
      <c r="BP9" s="72"/>
      <c r="BQ9" s="517"/>
      <c r="BR9" s="518"/>
      <c r="BS9" s="518"/>
      <c r="BT9" s="518"/>
      <c r="BU9" s="518"/>
      <c r="BV9" s="72" t="s">
        <v>1015</v>
      </c>
      <c r="BW9" s="72"/>
      <c r="BX9" s="72" t="s">
        <v>1017</v>
      </c>
      <c r="BY9" s="518"/>
      <c r="BZ9" s="72" t="s">
        <v>1018</v>
      </c>
      <c r="CA9" s="72"/>
      <c r="CB9" s="72" t="s">
        <v>1020</v>
      </c>
      <c r="CC9" s="518"/>
      <c r="CD9" s="518"/>
      <c r="CE9" s="521"/>
    </row>
    <row r="10" hidden="1">
      <c r="A10" s="513"/>
      <c r="B10" s="647" t="s">
        <v>1678</v>
      </c>
      <c r="C10" s="25"/>
      <c r="D10" s="527" t="s">
        <v>1679</v>
      </c>
      <c r="E10" s="527"/>
      <c r="F10" s="72" t="s">
        <v>1142</v>
      </c>
      <c r="G10" s="527" t="s">
        <v>1680</v>
      </c>
      <c r="H10" s="527"/>
      <c r="I10" s="72"/>
      <c r="J10" s="72"/>
      <c r="K10" s="72"/>
      <c r="L10" s="72"/>
      <c r="M10" s="72" t="s">
        <v>1681</v>
      </c>
      <c r="N10" s="72"/>
      <c r="O10" s="26"/>
      <c r="P10" s="72" t="s">
        <v>1682</v>
      </c>
      <c r="Q10" s="540"/>
      <c r="R10" s="517">
        <v>0.344</v>
      </c>
      <c r="S10" s="591"/>
      <c r="T10" s="591"/>
      <c r="U10" s="591"/>
      <c r="V10" s="591"/>
      <c r="W10" s="518" t="s">
        <v>1683</v>
      </c>
      <c r="X10" s="668"/>
      <c r="Y10" s="668"/>
      <c r="Z10" s="648"/>
      <c r="AA10" s="649"/>
      <c r="AB10" s="25"/>
      <c r="AC10" s="26"/>
      <c r="AD10" s="26"/>
      <c r="AE10" s="26"/>
      <c r="AF10" s="26"/>
      <c r="AG10" s="26"/>
      <c r="AH10" s="26"/>
      <c r="AI10" s="26"/>
      <c r="AJ10" s="26"/>
      <c r="AK10" s="527"/>
      <c r="AL10" s="527"/>
      <c r="AM10" s="527"/>
      <c r="AN10" s="527"/>
      <c r="AO10" s="527"/>
      <c r="AP10" s="522" t="s">
        <v>1684</v>
      </c>
      <c r="AQ10" s="72" t="s">
        <v>1685</v>
      </c>
      <c r="AR10" s="72" t="s">
        <v>1686</v>
      </c>
      <c r="AS10" s="72" t="s">
        <v>1687</v>
      </c>
      <c r="AT10" s="72" t="s">
        <v>1688</v>
      </c>
      <c r="AU10" s="72" t="s">
        <v>1689</v>
      </c>
      <c r="AV10" s="518">
        <v>0.611</v>
      </c>
      <c r="AW10" s="72" t="s">
        <v>1690</v>
      </c>
      <c r="AX10" s="72" t="s">
        <v>1691</v>
      </c>
      <c r="AY10" s="591"/>
      <c r="AZ10" s="591"/>
      <c r="BA10" s="649"/>
      <c r="BB10" s="650"/>
      <c r="BC10" s="650"/>
      <c r="BD10" s="650"/>
      <c r="BE10" s="650"/>
      <c r="BF10" s="650"/>
      <c r="BG10" s="650"/>
      <c r="BH10" s="25"/>
      <c r="BI10" s="26"/>
      <c r="BJ10" s="26"/>
      <c r="BK10" s="26"/>
      <c r="BL10" s="26"/>
      <c r="BM10" s="26"/>
      <c r="BN10" s="26"/>
      <c r="BO10" s="26"/>
      <c r="BP10" s="26"/>
      <c r="BQ10" s="651"/>
      <c r="BR10" s="591"/>
      <c r="BS10" s="591"/>
      <c r="BT10" s="591"/>
      <c r="BU10" s="591"/>
      <c r="BV10" s="72" t="s">
        <v>1692</v>
      </c>
      <c r="BW10" s="72"/>
      <c r="BX10" s="72" t="s">
        <v>1693</v>
      </c>
      <c r="BY10" s="518"/>
      <c r="BZ10" s="72" t="s">
        <v>1694</v>
      </c>
      <c r="CA10" s="72"/>
      <c r="CB10" s="72" t="s">
        <v>1695</v>
      </c>
      <c r="CC10" s="591"/>
      <c r="CD10" s="591"/>
      <c r="CE10" s="649"/>
    </row>
    <row r="11">
      <c r="A11" s="513"/>
      <c r="B11" s="514" t="s">
        <v>305</v>
      </c>
      <c r="C11" s="530">
        <v>0.926</v>
      </c>
      <c r="D11" s="72" t="s">
        <v>1023</v>
      </c>
      <c r="E11" s="72" t="s">
        <v>1024</v>
      </c>
      <c r="F11" s="72">
        <v>0.58</v>
      </c>
      <c r="G11" s="527" t="s">
        <v>1025</v>
      </c>
      <c r="H11" s="527" t="s">
        <v>1026</v>
      </c>
      <c r="I11" s="72">
        <v>0.804</v>
      </c>
      <c r="J11" s="531" t="s">
        <v>2056</v>
      </c>
      <c r="K11" s="72" t="s">
        <v>1028</v>
      </c>
      <c r="L11" s="531">
        <v>0.72</v>
      </c>
      <c r="M11" s="531" t="s">
        <v>2057</v>
      </c>
      <c r="N11" s="527" t="s">
        <v>1030</v>
      </c>
      <c r="O11" s="72">
        <v>0.885</v>
      </c>
      <c r="P11" s="72" t="s">
        <v>1031</v>
      </c>
      <c r="Q11" s="540" t="s">
        <v>1032</v>
      </c>
      <c r="R11" s="517">
        <v>0.601</v>
      </c>
      <c r="S11" s="543" t="s">
        <v>2058</v>
      </c>
      <c r="T11" s="518">
        <v>0.124</v>
      </c>
      <c r="U11" s="518" t="s">
        <v>1035</v>
      </c>
      <c r="V11" s="543">
        <v>0.596</v>
      </c>
      <c r="W11" s="518" t="s">
        <v>1036</v>
      </c>
      <c r="X11" s="666"/>
      <c r="Y11" s="666"/>
      <c r="Z11" s="520">
        <v>0.447</v>
      </c>
      <c r="AA11" s="521" t="s">
        <v>1038</v>
      </c>
      <c r="AB11" s="522"/>
      <c r="AC11" s="531" t="s">
        <v>2059</v>
      </c>
      <c r="AD11" s="72"/>
      <c r="AE11" s="531" t="s">
        <v>1040</v>
      </c>
      <c r="AF11" s="72"/>
      <c r="AG11" s="531" t="s">
        <v>2060</v>
      </c>
      <c r="AH11" s="72"/>
      <c r="AI11" s="72" t="s">
        <v>1042</v>
      </c>
      <c r="AJ11" s="72"/>
      <c r="AK11" s="72" t="s">
        <v>1043</v>
      </c>
      <c r="AL11" s="72"/>
      <c r="AM11" s="72"/>
      <c r="AN11" s="72"/>
      <c r="AO11" s="72"/>
      <c r="AP11" s="72">
        <v>0.885</v>
      </c>
      <c r="AQ11" s="531" t="s">
        <v>2061</v>
      </c>
      <c r="AR11" s="72" t="s">
        <v>1045</v>
      </c>
      <c r="AS11" s="72">
        <v>0.916</v>
      </c>
      <c r="AT11" s="72" t="s">
        <v>1046</v>
      </c>
      <c r="AU11" s="72" t="s">
        <v>2062</v>
      </c>
      <c r="AV11" s="518">
        <v>1.0</v>
      </c>
      <c r="AW11" s="531" t="s">
        <v>2063</v>
      </c>
      <c r="AX11" s="72" t="s">
        <v>1049</v>
      </c>
      <c r="AY11" s="518"/>
      <c r="AZ11" s="518" t="s">
        <v>1704</v>
      </c>
      <c r="BA11" s="142" t="s">
        <v>1705</v>
      </c>
      <c r="BB11" s="642"/>
      <c r="BC11" s="642"/>
      <c r="BD11" s="642"/>
      <c r="BE11" s="642"/>
      <c r="BF11" s="642"/>
      <c r="BG11" s="642"/>
      <c r="BH11" s="522"/>
      <c r="BI11" s="72"/>
      <c r="BJ11" s="72"/>
      <c r="BK11" s="72"/>
      <c r="BL11" s="72"/>
      <c r="BM11" s="72"/>
      <c r="BN11" s="72"/>
      <c r="BO11" s="72"/>
      <c r="BP11" s="72"/>
      <c r="BQ11" s="517"/>
      <c r="BR11" s="658"/>
      <c r="BS11" s="658"/>
      <c r="BT11" s="518"/>
      <c r="BU11" s="518"/>
      <c r="BV11" s="484" t="s">
        <v>2064</v>
      </c>
      <c r="BW11" s="484"/>
      <c r="BX11" s="72" t="s">
        <v>1901</v>
      </c>
      <c r="BY11" s="518"/>
      <c r="BZ11" s="531" t="s">
        <v>1057</v>
      </c>
      <c r="CA11" s="531"/>
      <c r="CB11" s="531" t="s">
        <v>1059</v>
      </c>
      <c r="CC11" s="518"/>
      <c r="CD11" s="518"/>
      <c r="CE11" s="521"/>
    </row>
    <row r="12">
      <c r="A12" s="513"/>
      <c r="B12" s="647" t="s">
        <v>345</v>
      </c>
      <c r="C12" s="530"/>
      <c r="D12" s="72" t="s">
        <v>1062</v>
      </c>
      <c r="E12" s="531"/>
      <c r="F12" s="72"/>
      <c r="G12" s="527" t="s">
        <v>1064</v>
      </c>
      <c r="H12" s="527"/>
      <c r="I12" s="531"/>
      <c r="J12" s="531" t="s">
        <v>2065</v>
      </c>
      <c r="K12" s="531"/>
      <c r="L12" s="531"/>
      <c r="M12" s="531" t="s">
        <v>2066</v>
      </c>
      <c r="N12" s="531"/>
      <c r="O12" s="72"/>
      <c r="P12" s="72" t="s">
        <v>1070</v>
      </c>
      <c r="Q12" s="540"/>
      <c r="R12" s="517"/>
      <c r="S12" s="518"/>
      <c r="T12" s="518"/>
      <c r="U12" s="518"/>
      <c r="V12" s="518"/>
      <c r="W12" s="518"/>
      <c r="X12" s="666"/>
      <c r="Y12" s="666"/>
      <c r="Z12" s="520"/>
      <c r="AA12" s="521"/>
      <c r="AB12" s="522"/>
      <c r="AC12" s="531"/>
      <c r="AD12" s="72"/>
      <c r="AE12" s="531"/>
      <c r="AF12" s="72"/>
      <c r="AG12" s="531"/>
      <c r="AH12" s="72"/>
      <c r="AI12" s="531"/>
      <c r="AJ12" s="72"/>
      <c r="AK12" s="72"/>
      <c r="AL12" s="72"/>
      <c r="AM12" s="72"/>
      <c r="AN12" s="72"/>
      <c r="AO12" s="72"/>
      <c r="AP12" s="72"/>
      <c r="AQ12" s="531"/>
      <c r="AR12" s="531"/>
      <c r="AS12" s="72"/>
      <c r="AT12" s="72"/>
      <c r="AU12" s="72"/>
      <c r="AV12" s="518"/>
      <c r="AW12" s="531"/>
      <c r="AX12" s="72"/>
      <c r="AY12" s="518"/>
      <c r="AZ12" s="518"/>
      <c r="BA12" s="521"/>
      <c r="BB12" s="642"/>
      <c r="BC12" s="642"/>
      <c r="BD12" s="642"/>
      <c r="BE12" s="642"/>
      <c r="BF12" s="642"/>
      <c r="BG12" s="642"/>
      <c r="BH12" s="522"/>
      <c r="BI12" s="72"/>
      <c r="BJ12" s="72"/>
      <c r="BK12" s="72"/>
      <c r="BL12" s="72"/>
      <c r="BM12" s="72"/>
      <c r="BN12" s="72"/>
      <c r="BO12" s="72"/>
      <c r="BP12" s="72"/>
      <c r="BQ12" s="517"/>
      <c r="BR12" s="658"/>
      <c r="BS12" s="658"/>
      <c r="BT12" s="518"/>
      <c r="BU12" s="518"/>
      <c r="BV12" s="484"/>
      <c r="BW12" s="484"/>
      <c r="BX12" s="531"/>
      <c r="BY12" s="518"/>
      <c r="BZ12" s="531"/>
      <c r="CA12" s="531"/>
      <c r="CB12" s="531"/>
      <c r="CC12" s="518"/>
      <c r="CD12" s="518"/>
      <c r="CE12" s="521"/>
    </row>
    <row r="13" hidden="1">
      <c r="A13" s="513"/>
      <c r="B13" s="514" t="s">
        <v>1709</v>
      </c>
      <c r="C13" s="530"/>
      <c r="D13" s="72"/>
      <c r="E13" s="531"/>
      <c r="F13" s="72"/>
      <c r="G13" s="527"/>
      <c r="H13" s="527"/>
      <c r="I13" s="531"/>
      <c r="J13" s="531"/>
      <c r="K13" s="531"/>
      <c r="L13" s="531"/>
      <c r="M13" s="72" t="s">
        <v>1107</v>
      </c>
      <c r="N13" s="531"/>
      <c r="O13" s="72"/>
      <c r="P13" s="531" t="s">
        <v>1710</v>
      </c>
      <c r="Q13" s="540" t="s">
        <v>1110</v>
      </c>
      <c r="R13" s="517"/>
      <c r="S13" s="518"/>
      <c r="T13" s="518"/>
      <c r="U13" s="518"/>
      <c r="V13" s="518"/>
      <c r="W13" s="518"/>
      <c r="X13" s="666"/>
      <c r="Y13" s="666"/>
      <c r="Z13" s="520"/>
      <c r="AA13" s="521"/>
      <c r="AB13" s="522"/>
      <c r="AC13" s="531"/>
      <c r="AD13" s="72"/>
      <c r="AE13" s="531"/>
      <c r="AF13" s="72"/>
      <c r="AG13" s="531"/>
      <c r="AH13" s="72"/>
      <c r="AI13" s="531"/>
      <c r="AJ13" s="72"/>
      <c r="AK13" s="72"/>
      <c r="AL13" s="72"/>
      <c r="AM13" s="72"/>
      <c r="AN13" s="72"/>
      <c r="AO13" s="72"/>
      <c r="AP13" s="72"/>
      <c r="AQ13" s="531"/>
      <c r="AR13" s="531"/>
      <c r="AS13" s="531"/>
      <c r="AT13" s="72"/>
      <c r="AU13" s="72"/>
      <c r="AV13" s="518"/>
      <c r="AW13" s="531"/>
      <c r="AX13" s="72"/>
      <c r="AY13" s="518"/>
      <c r="AZ13" s="518"/>
      <c r="BA13" s="521"/>
      <c r="BB13" s="642"/>
      <c r="BC13" s="642"/>
      <c r="BD13" s="642"/>
      <c r="BE13" s="642"/>
      <c r="BF13" s="642"/>
      <c r="BG13" s="642"/>
      <c r="BH13" s="522"/>
      <c r="BI13" s="72"/>
      <c r="BJ13" s="72"/>
      <c r="BK13" s="72"/>
      <c r="BL13" s="72"/>
      <c r="BM13" s="72"/>
      <c r="BN13" s="72"/>
      <c r="BO13" s="72"/>
      <c r="BP13" s="72"/>
      <c r="BQ13" s="517"/>
      <c r="BR13" s="658"/>
      <c r="BS13" s="658"/>
      <c r="BT13" s="518"/>
      <c r="BU13" s="518"/>
      <c r="BV13" s="484"/>
      <c r="BW13" s="484"/>
      <c r="BX13" s="531"/>
      <c r="BY13" s="518"/>
      <c r="BZ13" s="531"/>
      <c r="CA13" s="531"/>
      <c r="CB13" s="531"/>
      <c r="CC13" s="518"/>
      <c r="CD13" s="518"/>
      <c r="CE13" s="521"/>
    </row>
    <row r="14">
      <c r="A14" s="560"/>
      <c r="B14" s="561" t="s">
        <v>377</v>
      </c>
      <c r="C14" s="562">
        <v>0.831</v>
      </c>
      <c r="D14" s="563" t="s">
        <v>1101</v>
      </c>
      <c r="E14" s="563" t="s">
        <v>1102</v>
      </c>
      <c r="F14" s="563">
        <v>0.792</v>
      </c>
      <c r="G14" s="563" t="s">
        <v>1103</v>
      </c>
      <c r="H14" s="564" t="s">
        <v>1104</v>
      </c>
      <c r="I14" s="563">
        <v>0.628</v>
      </c>
      <c r="J14" s="563" t="s">
        <v>1105</v>
      </c>
      <c r="K14" s="563" t="s">
        <v>1106</v>
      </c>
      <c r="L14" s="563">
        <v>0.605</v>
      </c>
      <c r="M14" s="564" t="s">
        <v>1107</v>
      </c>
      <c r="N14" s="564" t="s">
        <v>1108</v>
      </c>
      <c r="O14" s="563">
        <v>0.928</v>
      </c>
      <c r="P14" s="565" t="s">
        <v>2067</v>
      </c>
      <c r="Q14" s="573" t="s">
        <v>1110</v>
      </c>
      <c r="R14" s="567">
        <v>0.61</v>
      </c>
      <c r="S14" s="568" t="s">
        <v>1113</v>
      </c>
      <c r="T14" s="569">
        <v>0.149</v>
      </c>
      <c r="U14" s="568" t="s">
        <v>2068</v>
      </c>
      <c r="V14" s="568">
        <v>0.464</v>
      </c>
      <c r="W14" s="568" t="s">
        <v>1115</v>
      </c>
      <c r="X14" s="670"/>
      <c r="Y14" s="670"/>
      <c r="Z14" s="571">
        <v>0.365</v>
      </c>
      <c r="AA14" s="572" t="s">
        <v>1117</v>
      </c>
      <c r="AB14" s="562"/>
      <c r="AC14" s="563" t="s">
        <v>1118</v>
      </c>
      <c r="AD14" s="563"/>
      <c r="AE14" s="563" t="s">
        <v>1119</v>
      </c>
      <c r="AF14" s="563"/>
      <c r="AG14" s="563" t="s">
        <v>2069</v>
      </c>
      <c r="AH14" s="563"/>
      <c r="AI14" s="563" t="s">
        <v>1121</v>
      </c>
      <c r="AJ14" s="563"/>
      <c r="AK14" s="563" t="s">
        <v>1083</v>
      </c>
      <c r="AL14" s="563"/>
      <c r="AM14" s="563"/>
      <c r="AN14" s="563"/>
      <c r="AO14" s="563"/>
      <c r="AP14" s="562" t="s">
        <v>1907</v>
      </c>
      <c r="AQ14" s="563" t="s">
        <v>1122</v>
      </c>
      <c r="AR14" s="563" t="s">
        <v>1123</v>
      </c>
      <c r="AS14" s="563" t="s">
        <v>2070</v>
      </c>
      <c r="AT14" s="563" t="s">
        <v>1124</v>
      </c>
      <c r="AU14" s="563" t="s">
        <v>1125</v>
      </c>
      <c r="AV14" s="568"/>
      <c r="AW14" s="563" t="s">
        <v>2071</v>
      </c>
      <c r="AX14" s="563" t="s">
        <v>2072</v>
      </c>
      <c r="AY14" s="568"/>
      <c r="AZ14" s="568"/>
      <c r="BA14" s="572"/>
      <c r="BB14" s="653"/>
      <c r="BC14" s="653"/>
      <c r="BD14" s="653"/>
      <c r="BE14" s="653"/>
      <c r="BF14" s="653"/>
      <c r="BG14" s="653"/>
      <c r="BH14" s="562"/>
      <c r="BI14" s="563"/>
      <c r="BJ14" s="563"/>
      <c r="BK14" s="563"/>
      <c r="BL14" s="563"/>
      <c r="BM14" s="563"/>
      <c r="BN14" s="563"/>
      <c r="BO14" s="563"/>
      <c r="BP14" s="563"/>
      <c r="BQ14" s="517"/>
      <c r="BR14" s="568"/>
      <c r="BS14" s="568"/>
      <c r="BT14" s="568"/>
      <c r="BU14" s="568"/>
      <c r="BV14" s="563" t="s">
        <v>1132</v>
      </c>
      <c r="BW14" s="563"/>
      <c r="BX14" s="563" t="s">
        <v>1913</v>
      </c>
      <c r="BY14" s="568"/>
      <c r="BZ14" s="563" t="s">
        <v>1135</v>
      </c>
      <c r="CA14" s="563"/>
      <c r="CB14" s="563" t="s">
        <v>1914</v>
      </c>
      <c r="CC14" s="568"/>
      <c r="CD14" s="568"/>
      <c r="CE14" s="572"/>
    </row>
    <row r="15" hidden="1">
      <c r="A15" s="496"/>
      <c r="B15" s="496" t="s">
        <v>1140</v>
      </c>
      <c r="C15" s="505">
        <v>0.832</v>
      </c>
      <c r="D15" s="457" t="s">
        <v>1141</v>
      </c>
      <c r="E15" s="457"/>
      <c r="F15" s="457" t="s">
        <v>1142</v>
      </c>
      <c r="G15" s="457" t="s">
        <v>1143</v>
      </c>
      <c r="H15" s="457"/>
      <c r="I15" s="457">
        <v>0.679</v>
      </c>
      <c r="J15" s="457" t="s">
        <v>1144</v>
      </c>
      <c r="K15" s="457"/>
      <c r="L15" s="457">
        <v>0.462</v>
      </c>
      <c r="M15" s="457" t="s">
        <v>1145</v>
      </c>
      <c r="N15" s="457"/>
      <c r="O15" s="580">
        <v>0.914</v>
      </c>
      <c r="P15" s="457" t="s">
        <v>1146</v>
      </c>
      <c r="Q15" s="679"/>
      <c r="R15" s="581">
        <v>0.403</v>
      </c>
      <c r="S15" s="507" t="s">
        <v>1147</v>
      </c>
      <c r="T15" s="582"/>
      <c r="U15" s="507" t="s">
        <v>1148</v>
      </c>
      <c r="V15" s="582"/>
      <c r="W15" s="583" t="s">
        <v>1149</v>
      </c>
      <c r="X15" s="671"/>
      <c r="Y15" s="672" t="s">
        <v>1150</v>
      </c>
      <c r="Z15" s="584"/>
      <c r="AA15" s="490" t="s">
        <v>1151</v>
      </c>
      <c r="AB15" s="586"/>
      <c r="AC15" s="587" t="s">
        <v>1152</v>
      </c>
      <c r="AD15" s="580"/>
      <c r="AE15" s="580"/>
      <c r="AF15" s="580"/>
      <c r="AG15" s="580"/>
      <c r="AH15" s="580"/>
      <c r="AI15" s="580"/>
      <c r="AJ15" s="580"/>
      <c r="AP15" s="505" t="s">
        <v>1153</v>
      </c>
      <c r="AQ15" s="224" t="s">
        <v>1154</v>
      </c>
      <c r="AR15" s="457" t="s">
        <v>1155</v>
      </c>
      <c r="AS15" s="587" t="s">
        <v>1156</v>
      </c>
      <c r="AT15" s="587" t="s">
        <v>1157</v>
      </c>
      <c r="AU15" s="587" t="s">
        <v>1158</v>
      </c>
      <c r="AV15" s="582">
        <v>1.0</v>
      </c>
      <c r="AW15" s="587" t="s">
        <v>1159</v>
      </c>
      <c r="AX15" s="587" t="s">
        <v>1160</v>
      </c>
      <c r="AY15" s="582"/>
      <c r="AZ15" s="583"/>
      <c r="BA15" s="654"/>
      <c r="BB15" s="655"/>
      <c r="BC15" s="655"/>
      <c r="BD15" s="637"/>
      <c r="BE15" s="637"/>
      <c r="BF15" s="637"/>
      <c r="BG15" s="637"/>
      <c r="BH15" s="656" t="s">
        <v>1716</v>
      </c>
      <c r="BI15" s="457" t="s">
        <v>1717</v>
      </c>
      <c r="BJ15" s="457" t="s">
        <v>1718</v>
      </c>
      <c r="BK15" s="580"/>
      <c r="BL15" s="587"/>
      <c r="BM15" s="587"/>
      <c r="BN15" s="580"/>
      <c r="BO15" s="587"/>
      <c r="BP15" s="587"/>
      <c r="BQ15" s="657">
        <v>0.28</v>
      </c>
      <c r="BR15" s="589" t="s">
        <v>250</v>
      </c>
      <c r="BS15" s="583"/>
      <c r="BT15" s="583" t="s">
        <v>1161</v>
      </c>
      <c r="BU15" s="583" t="s">
        <v>1719</v>
      </c>
      <c r="BV15" s="587" t="s">
        <v>1162</v>
      </c>
      <c r="BW15" s="587"/>
      <c r="BX15" s="587" t="s">
        <v>1163</v>
      </c>
      <c r="BY15" s="583"/>
      <c r="BZ15" s="587" t="s">
        <v>1164</v>
      </c>
      <c r="CA15" s="587"/>
      <c r="CB15" s="587" t="s">
        <v>1165</v>
      </c>
      <c r="CC15" s="582"/>
      <c r="CD15" s="582"/>
      <c r="CE15" s="490"/>
    </row>
    <row r="16" hidden="1">
      <c r="A16" s="590"/>
      <c r="B16" s="514" t="s">
        <v>1166</v>
      </c>
      <c r="C16" s="522"/>
      <c r="D16" s="531"/>
      <c r="E16" s="531"/>
      <c r="F16" s="72"/>
      <c r="G16" s="531"/>
      <c r="H16" s="531"/>
      <c r="I16" s="72"/>
      <c r="J16" s="72"/>
      <c r="K16" s="72"/>
      <c r="L16" s="72"/>
      <c r="M16" s="26"/>
      <c r="N16" s="26"/>
      <c r="O16" s="72"/>
      <c r="P16" s="72"/>
      <c r="Q16" s="146"/>
      <c r="R16" s="517"/>
      <c r="S16" s="658"/>
      <c r="T16" s="518"/>
      <c r="U16" s="518"/>
      <c r="V16" s="518"/>
      <c r="W16" s="518"/>
      <c r="X16" s="666"/>
      <c r="Y16" s="673"/>
      <c r="Z16" s="520"/>
      <c r="AA16" s="658"/>
      <c r="AB16" s="522"/>
      <c r="AC16" s="72"/>
      <c r="AD16" s="72"/>
      <c r="AE16" s="72"/>
      <c r="AF16" s="72"/>
      <c r="AG16" s="72"/>
      <c r="AH16" s="72"/>
      <c r="AI16" s="72"/>
      <c r="AJ16" s="72"/>
      <c r="AK16" s="224"/>
      <c r="AL16" s="224"/>
      <c r="AM16" s="224"/>
      <c r="AN16" s="224"/>
      <c r="AO16" s="224"/>
      <c r="AP16" s="522"/>
      <c r="AS16" s="72"/>
      <c r="AT16" s="72"/>
      <c r="AU16" s="72"/>
      <c r="AV16" s="518"/>
      <c r="AW16" s="72"/>
      <c r="AX16" s="72"/>
      <c r="AY16" s="518"/>
      <c r="AZ16" s="658"/>
      <c r="BA16" s="680"/>
      <c r="BB16" s="642"/>
      <c r="BC16" s="642"/>
      <c r="BD16" s="638"/>
      <c r="BE16" s="638"/>
      <c r="BF16" s="638"/>
      <c r="BG16" s="638"/>
      <c r="BH16" s="522"/>
      <c r="BK16" s="72"/>
      <c r="BL16" s="72"/>
      <c r="BM16" s="72"/>
      <c r="BN16" s="72"/>
      <c r="BQ16" s="659"/>
      <c r="BR16" s="658"/>
      <c r="BS16" s="658"/>
      <c r="BT16" s="658"/>
      <c r="BU16" s="658"/>
      <c r="BY16" s="658"/>
      <c r="CC16" s="518"/>
      <c r="CD16" s="518"/>
      <c r="CE16" s="658"/>
    </row>
    <row r="17" hidden="1">
      <c r="A17" s="590"/>
      <c r="B17" s="514" t="s">
        <v>1167</v>
      </c>
      <c r="C17" s="522"/>
      <c r="D17" s="527" t="s">
        <v>1168</v>
      </c>
      <c r="E17" s="527"/>
      <c r="F17" s="72"/>
      <c r="G17" s="527" t="s">
        <v>1169</v>
      </c>
      <c r="H17" s="527"/>
      <c r="I17" s="72"/>
      <c r="J17" s="72" t="s">
        <v>1170</v>
      </c>
      <c r="K17" s="72"/>
      <c r="L17" s="72"/>
      <c r="M17" s="72" t="s">
        <v>1171</v>
      </c>
      <c r="N17" s="72"/>
      <c r="O17" s="72"/>
      <c r="P17" s="72" t="s">
        <v>1172</v>
      </c>
      <c r="Q17" s="146"/>
      <c r="R17" s="517"/>
      <c r="S17" s="518" t="s">
        <v>1173</v>
      </c>
      <c r="T17" s="518"/>
      <c r="U17" s="518" t="s">
        <v>1174</v>
      </c>
      <c r="V17" s="518"/>
      <c r="W17" s="518"/>
      <c r="X17" s="666"/>
      <c r="Y17" s="666"/>
      <c r="Z17" s="520"/>
      <c r="AA17" s="521"/>
      <c r="AB17" s="522"/>
      <c r="AC17" s="72"/>
      <c r="AD17" s="72"/>
      <c r="AE17" s="72"/>
      <c r="AF17" s="72"/>
      <c r="AG17" s="72"/>
      <c r="AH17" s="72"/>
      <c r="AI17" s="72"/>
      <c r="AJ17" s="72"/>
      <c r="AK17" s="224"/>
      <c r="AL17" s="224"/>
      <c r="AM17" s="224"/>
      <c r="AN17" s="224"/>
      <c r="AO17" s="224"/>
      <c r="AP17" s="522"/>
      <c r="AQ17" s="72"/>
      <c r="AR17" s="72"/>
      <c r="AS17" s="72"/>
      <c r="AT17" s="72"/>
      <c r="AU17" s="72"/>
      <c r="AV17" s="518"/>
      <c r="AW17" s="72"/>
      <c r="AX17" s="72"/>
      <c r="AY17" s="518"/>
      <c r="AZ17" s="518"/>
      <c r="BA17" s="521"/>
      <c r="BB17" s="642"/>
      <c r="BC17" s="642"/>
      <c r="BD17" s="642"/>
      <c r="BE17" s="642"/>
      <c r="BF17" s="642"/>
      <c r="BG17" s="642"/>
      <c r="BH17" s="522"/>
      <c r="BI17" s="72"/>
      <c r="BJ17" s="72"/>
      <c r="BK17" s="72"/>
      <c r="BL17" s="72"/>
      <c r="BM17" s="72"/>
      <c r="BN17" s="72"/>
      <c r="BO17" s="72"/>
      <c r="BP17" s="72"/>
      <c r="BQ17" s="517"/>
      <c r="BR17" s="518"/>
      <c r="BS17" s="518"/>
      <c r="BT17" s="518"/>
      <c r="BU17" s="518"/>
      <c r="BV17" s="72"/>
      <c r="BW17" s="72"/>
      <c r="BX17" s="72"/>
      <c r="BY17" s="518"/>
      <c r="BZ17" s="72"/>
      <c r="CA17" s="72"/>
      <c r="CB17" s="72"/>
      <c r="CC17" s="518"/>
      <c r="CD17" s="518"/>
      <c r="CE17" s="521"/>
    </row>
    <row r="18" hidden="1">
      <c r="A18" s="590"/>
      <c r="B18" s="514" t="s">
        <v>1175</v>
      </c>
      <c r="C18" s="522"/>
      <c r="D18" s="527" t="s">
        <v>1176</v>
      </c>
      <c r="E18" s="527"/>
      <c r="F18" s="72"/>
      <c r="G18" s="527" t="s">
        <v>1177</v>
      </c>
      <c r="H18" s="527"/>
      <c r="I18" s="72"/>
      <c r="J18" s="72" t="s">
        <v>1178</v>
      </c>
      <c r="K18" s="72"/>
      <c r="L18" s="72"/>
      <c r="M18" s="72" t="s">
        <v>1179</v>
      </c>
      <c r="N18" s="72"/>
      <c r="O18" s="72"/>
      <c r="P18" s="72" t="s">
        <v>1180</v>
      </c>
      <c r="Q18" s="146" t="s">
        <v>1181</v>
      </c>
      <c r="R18" s="517"/>
      <c r="S18" s="518"/>
      <c r="T18" s="518"/>
      <c r="U18" s="518"/>
      <c r="V18" s="518"/>
      <c r="W18" s="518"/>
      <c r="X18" s="666"/>
      <c r="Y18" s="666"/>
      <c r="Z18" s="520"/>
      <c r="AA18" s="521"/>
      <c r="AB18" s="522"/>
      <c r="AC18" s="72"/>
      <c r="AD18" s="72"/>
      <c r="AE18" s="72"/>
      <c r="AF18" s="72"/>
      <c r="AG18" s="72"/>
      <c r="AH18" s="72"/>
      <c r="AI18" s="72"/>
      <c r="AJ18" s="72"/>
      <c r="AK18" s="224"/>
      <c r="AL18" s="224"/>
      <c r="AM18" s="224"/>
      <c r="AN18" s="224"/>
      <c r="AO18" s="224"/>
      <c r="AP18" s="522"/>
      <c r="AQ18" s="72"/>
      <c r="AR18" s="72"/>
      <c r="AS18" s="72"/>
      <c r="AT18" s="72"/>
      <c r="AU18" s="72"/>
      <c r="AV18" s="518"/>
      <c r="AW18" s="72"/>
      <c r="AX18" s="72"/>
      <c r="AY18" s="518"/>
      <c r="AZ18" s="518"/>
      <c r="BA18" s="521"/>
      <c r="BB18" s="642"/>
      <c r="BC18" s="642"/>
      <c r="BD18" s="642"/>
      <c r="BE18" s="642"/>
      <c r="BF18" s="642"/>
      <c r="BG18" s="642"/>
      <c r="BH18" s="522"/>
      <c r="BI18" s="72"/>
      <c r="BJ18" s="72"/>
      <c r="BK18" s="72"/>
      <c r="BL18" s="72"/>
      <c r="BM18" s="72"/>
      <c r="BN18" s="72"/>
      <c r="BO18" s="72"/>
      <c r="BP18" s="72"/>
      <c r="BQ18" s="517"/>
      <c r="BR18" s="518"/>
      <c r="BS18" s="518"/>
      <c r="BT18" s="518"/>
      <c r="BU18" s="518"/>
      <c r="BV18" s="72"/>
      <c r="BW18" s="72"/>
      <c r="BX18" s="72"/>
      <c r="BY18" s="518"/>
      <c r="BZ18" s="72"/>
      <c r="CA18" s="72"/>
      <c r="CB18" s="72"/>
      <c r="CC18" s="518"/>
      <c r="CD18" s="518"/>
      <c r="CE18" s="521"/>
    </row>
    <row r="19">
      <c r="A19" s="590"/>
      <c r="B19" s="514" t="s">
        <v>721</v>
      </c>
      <c r="C19" s="522">
        <v>0.9</v>
      </c>
      <c r="D19" s="527" t="s">
        <v>1182</v>
      </c>
      <c r="E19" s="527" t="s">
        <v>1183</v>
      </c>
      <c r="F19" s="72">
        <v>0.772</v>
      </c>
      <c r="G19" s="527" t="s">
        <v>1184</v>
      </c>
      <c r="H19" s="527" t="s">
        <v>1185</v>
      </c>
      <c r="I19" s="72">
        <v>0.75</v>
      </c>
      <c r="J19" s="72" t="s">
        <v>1186</v>
      </c>
      <c r="K19" s="72" t="s">
        <v>1187</v>
      </c>
      <c r="L19" s="72">
        <v>0.649</v>
      </c>
      <c r="M19" s="72" t="s">
        <v>1188</v>
      </c>
      <c r="N19" s="72" t="s">
        <v>1189</v>
      </c>
      <c r="O19" s="72">
        <v>0.899</v>
      </c>
      <c r="P19" s="72" t="s">
        <v>1190</v>
      </c>
      <c r="Q19" s="146" t="s">
        <v>1191</v>
      </c>
      <c r="R19" s="517">
        <v>0.528</v>
      </c>
      <c r="S19" s="224" t="s">
        <v>1194</v>
      </c>
      <c r="T19" s="518">
        <v>0.129</v>
      </c>
      <c r="U19" s="224" t="s">
        <v>1195</v>
      </c>
      <c r="V19" s="518">
        <v>0.505</v>
      </c>
      <c r="W19" s="518" t="s">
        <v>1196</v>
      </c>
      <c r="X19" s="666"/>
      <c r="Y19" s="666"/>
      <c r="Z19" s="520">
        <v>0.482</v>
      </c>
      <c r="AA19" s="224" t="s">
        <v>1198</v>
      </c>
      <c r="AB19" s="522"/>
      <c r="AC19" s="224" t="s">
        <v>2073</v>
      </c>
      <c r="AD19" s="72"/>
      <c r="AE19" s="224" t="s">
        <v>1200</v>
      </c>
      <c r="AF19" s="72"/>
      <c r="AG19" s="224" t="s">
        <v>2074</v>
      </c>
      <c r="AH19" s="72"/>
      <c r="AI19" s="72" t="s">
        <v>1202</v>
      </c>
      <c r="AJ19" s="72"/>
      <c r="AK19" s="224" t="s">
        <v>1203</v>
      </c>
      <c r="AL19" s="224"/>
      <c r="AM19" s="224"/>
      <c r="AN19" s="224"/>
      <c r="AO19" s="224"/>
      <c r="AP19" s="530">
        <v>0.932</v>
      </c>
      <c r="AQ19" s="531" t="s">
        <v>2075</v>
      </c>
      <c r="AR19" s="72" t="s">
        <v>1205</v>
      </c>
      <c r="AT19" s="72" t="s">
        <v>1206</v>
      </c>
      <c r="AU19" s="72" t="s">
        <v>2076</v>
      </c>
      <c r="AV19" s="518"/>
      <c r="AW19" s="72" t="s">
        <v>1208</v>
      </c>
      <c r="AX19" s="72" t="s">
        <v>1209</v>
      </c>
      <c r="AY19" s="518"/>
      <c r="AZ19" s="543" t="s">
        <v>1724</v>
      </c>
      <c r="BA19" s="521" t="s">
        <v>1725</v>
      </c>
      <c r="BB19" s="642"/>
      <c r="BC19" s="642"/>
      <c r="BD19" s="642"/>
      <c r="BE19" s="642"/>
      <c r="BF19" s="642"/>
      <c r="BG19" s="642"/>
      <c r="BH19" s="522"/>
      <c r="BI19" s="72"/>
      <c r="BJ19" s="72"/>
      <c r="BK19" s="72"/>
      <c r="BL19" s="72"/>
      <c r="BM19" s="72"/>
      <c r="BN19" s="72"/>
      <c r="BO19" s="72"/>
      <c r="BP19" s="72"/>
      <c r="BQ19" s="517"/>
      <c r="BR19" s="518" t="s">
        <v>1212</v>
      </c>
      <c r="BS19" s="518" t="s">
        <v>1213</v>
      </c>
      <c r="BT19" s="518" t="s">
        <v>1214</v>
      </c>
      <c r="BU19" s="518"/>
      <c r="BV19" s="72" t="s">
        <v>2077</v>
      </c>
      <c r="BW19" s="72" t="s">
        <v>1216</v>
      </c>
      <c r="BX19" s="531" t="s">
        <v>1217</v>
      </c>
      <c r="BY19" s="518"/>
      <c r="BZ19" s="72" t="s">
        <v>1218</v>
      </c>
      <c r="CA19" s="72" t="s">
        <v>1219</v>
      </c>
      <c r="CB19" s="72" t="s">
        <v>1220</v>
      </c>
      <c r="CC19" s="518"/>
      <c r="CD19" s="518" t="s">
        <v>2078</v>
      </c>
      <c r="CE19" s="521"/>
    </row>
    <row r="20">
      <c r="A20" s="590"/>
      <c r="B20" s="514" t="s">
        <v>722</v>
      </c>
      <c r="C20" s="522">
        <v>0.906</v>
      </c>
      <c r="D20" s="527" t="s">
        <v>2079</v>
      </c>
      <c r="E20" s="527" t="s">
        <v>1224</v>
      </c>
      <c r="F20" s="72">
        <v>0.78</v>
      </c>
      <c r="G20" s="527" t="s">
        <v>1225</v>
      </c>
      <c r="H20" s="527" t="s">
        <v>1226</v>
      </c>
      <c r="I20" s="72">
        <v>0.752</v>
      </c>
      <c r="J20" s="72" t="s">
        <v>1227</v>
      </c>
      <c r="K20" s="72" t="s">
        <v>1228</v>
      </c>
      <c r="L20" s="593">
        <v>0.633</v>
      </c>
      <c r="M20" s="72" t="s">
        <v>1229</v>
      </c>
      <c r="N20" s="72" t="s">
        <v>1230</v>
      </c>
      <c r="O20" s="72">
        <v>0.921</v>
      </c>
      <c r="P20" s="72" t="s">
        <v>2080</v>
      </c>
      <c r="Q20" s="146" t="s">
        <v>1232</v>
      </c>
      <c r="R20" s="517">
        <v>0.501</v>
      </c>
      <c r="S20" s="518" t="s">
        <v>1235</v>
      </c>
      <c r="T20" s="518">
        <v>0.12</v>
      </c>
      <c r="U20" s="518" t="s">
        <v>1236</v>
      </c>
      <c r="V20" s="518">
        <v>0.486</v>
      </c>
      <c r="W20" s="518" t="s">
        <v>1237</v>
      </c>
      <c r="X20" s="666"/>
      <c r="Y20" s="666"/>
      <c r="Z20" s="520">
        <v>0.459</v>
      </c>
      <c r="AA20" s="521" t="s">
        <v>1239</v>
      </c>
      <c r="AB20" s="522"/>
      <c r="AC20" s="72" t="s">
        <v>1240</v>
      </c>
      <c r="AD20" s="72"/>
      <c r="AE20" s="72" t="s">
        <v>1241</v>
      </c>
      <c r="AF20" s="72"/>
      <c r="AG20" s="72" t="s">
        <v>1242</v>
      </c>
      <c r="AH20" s="72"/>
      <c r="AI20" s="72" t="s">
        <v>1243</v>
      </c>
      <c r="AJ20" s="72"/>
      <c r="AK20" s="224" t="s">
        <v>1244</v>
      </c>
      <c r="AL20" s="224"/>
      <c r="AM20" s="224"/>
      <c r="AN20" s="224"/>
      <c r="AO20" s="224"/>
      <c r="AP20" s="522"/>
      <c r="AQ20" s="72" t="s">
        <v>1246</v>
      </c>
      <c r="AR20" s="72" t="s">
        <v>2081</v>
      </c>
      <c r="AS20" s="72"/>
      <c r="AT20" s="72" t="s">
        <v>1248</v>
      </c>
      <c r="AU20" s="72" t="s">
        <v>1249</v>
      </c>
      <c r="AV20" s="518"/>
      <c r="AW20" s="72" t="s">
        <v>1250</v>
      </c>
      <c r="AX20" s="72" t="s">
        <v>1251</v>
      </c>
      <c r="AY20" s="518"/>
      <c r="AZ20" s="518" t="s">
        <v>1731</v>
      </c>
      <c r="BA20" s="521" t="s">
        <v>1732</v>
      </c>
      <c r="BB20" s="642"/>
      <c r="BC20" s="642"/>
      <c r="BD20" s="642"/>
      <c r="BE20" s="642"/>
      <c r="BF20" s="642"/>
      <c r="BG20" s="642"/>
      <c r="BH20" s="522"/>
      <c r="BI20" s="72"/>
      <c r="BJ20" s="72"/>
      <c r="BK20" s="72"/>
      <c r="BL20" s="72"/>
      <c r="BM20" s="72"/>
      <c r="BN20" s="72"/>
      <c r="BO20" s="72"/>
      <c r="BP20" s="72"/>
      <c r="BQ20" s="517"/>
      <c r="BR20" s="518" t="s">
        <v>1254</v>
      </c>
      <c r="BS20" s="518" t="s">
        <v>1255</v>
      </c>
      <c r="BT20" s="518" t="s">
        <v>1256</v>
      </c>
      <c r="BU20" s="518"/>
      <c r="BV20" s="72" t="s">
        <v>1257</v>
      </c>
      <c r="BW20" s="72" t="s">
        <v>1258</v>
      </c>
      <c r="BX20" s="72" t="s">
        <v>1259</v>
      </c>
      <c r="BY20" s="518"/>
      <c r="BZ20" s="72" t="s">
        <v>1260</v>
      </c>
      <c r="CA20" s="72" t="s">
        <v>1261</v>
      </c>
      <c r="CB20" s="72" t="s">
        <v>1262</v>
      </c>
      <c r="CC20" s="518"/>
      <c r="CD20" s="518"/>
      <c r="CE20" s="521"/>
    </row>
    <row r="21">
      <c r="A21" s="590"/>
      <c r="B21" s="514" t="s">
        <v>414</v>
      </c>
      <c r="C21" s="522">
        <v>0.708</v>
      </c>
      <c r="D21" s="527" t="s">
        <v>1265</v>
      </c>
      <c r="E21" s="527" t="s">
        <v>1266</v>
      </c>
      <c r="F21" s="72">
        <v>0.235</v>
      </c>
      <c r="G21" s="527" t="s">
        <v>1267</v>
      </c>
      <c r="H21" s="527" t="s">
        <v>1268</v>
      </c>
      <c r="I21" s="72">
        <v>0.732</v>
      </c>
      <c r="J21" s="72" t="s">
        <v>1269</v>
      </c>
      <c r="K21" s="72" t="s">
        <v>1270</v>
      </c>
      <c r="L21" s="72">
        <v>0.566</v>
      </c>
      <c r="M21" s="72" t="s">
        <v>1271</v>
      </c>
      <c r="N21" s="72" t="s">
        <v>1272</v>
      </c>
      <c r="O21" s="72">
        <v>0.799</v>
      </c>
      <c r="P21" s="72" t="s">
        <v>1273</v>
      </c>
      <c r="Q21" s="146" t="s">
        <v>1274</v>
      </c>
      <c r="R21" s="517">
        <v>0.343</v>
      </c>
      <c r="S21" s="518" t="s">
        <v>1277</v>
      </c>
      <c r="T21" s="518">
        <v>0.06</v>
      </c>
      <c r="U21" s="518" t="s">
        <v>1278</v>
      </c>
      <c r="V21" s="518">
        <v>0.398</v>
      </c>
      <c r="W21" s="518" t="s">
        <v>1279</v>
      </c>
      <c r="X21" s="666"/>
      <c r="Y21" s="666"/>
      <c r="Z21" s="520">
        <v>0.285</v>
      </c>
      <c r="AA21" s="521" t="s">
        <v>1281</v>
      </c>
      <c r="AB21" s="522"/>
      <c r="AC21" s="72"/>
      <c r="AD21" s="72"/>
      <c r="AE21" s="72"/>
      <c r="AF21" s="72"/>
      <c r="AG21" s="72"/>
      <c r="AH21" s="72"/>
      <c r="AI21" s="72"/>
      <c r="AJ21" s="72"/>
      <c r="AK21" s="224"/>
      <c r="AL21" s="224"/>
      <c r="AM21" s="224"/>
      <c r="AN21" s="224"/>
      <c r="AO21" s="224"/>
      <c r="AP21" s="522">
        <v>0.892</v>
      </c>
      <c r="AQ21" s="72" t="s">
        <v>1287</v>
      </c>
      <c r="AR21" s="72" t="s">
        <v>1288</v>
      </c>
      <c r="AS21" s="72">
        <v>0.909</v>
      </c>
      <c r="AT21" s="72" t="s">
        <v>1289</v>
      </c>
      <c r="AU21" s="72" t="s">
        <v>1290</v>
      </c>
      <c r="AV21" s="518"/>
      <c r="AW21" s="72" t="s">
        <v>1291</v>
      </c>
      <c r="AX21" s="72" t="s">
        <v>1292</v>
      </c>
      <c r="AY21" s="518"/>
      <c r="AZ21" s="518" t="s">
        <v>1733</v>
      </c>
      <c r="BA21" s="521" t="s">
        <v>1734</v>
      </c>
      <c r="BB21" s="642"/>
      <c r="BC21" s="642"/>
      <c r="BD21" s="642"/>
      <c r="BE21" s="642"/>
      <c r="BF21" s="642"/>
      <c r="BG21" s="642"/>
      <c r="BH21" s="522"/>
      <c r="BI21" s="72"/>
      <c r="BJ21" s="72"/>
      <c r="BK21" s="72"/>
      <c r="BL21" s="72"/>
      <c r="BM21" s="72"/>
      <c r="BN21" s="72"/>
      <c r="BO21" s="72"/>
      <c r="BP21" s="72"/>
      <c r="BQ21" s="517"/>
      <c r="BR21" s="518"/>
      <c r="BS21" s="518"/>
      <c r="BT21" s="518"/>
      <c r="BU21" s="518"/>
      <c r="BV21" s="72"/>
      <c r="BW21" s="72"/>
      <c r="BX21" s="72"/>
      <c r="BY21" s="518"/>
      <c r="BZ21" s="72"/>
      <c r="CA21" s="72"/>
      <c r="CB21" s="72"/>
      <c r="CC21" s="518"/>
      <c r="CD21" s="518"/>
      <c r="CE21" s="521"/>
    </row>
    <row r="22">
      <c r="A22" s="590"/>
      <c r="B22" s="514" t="s">
        <v>704</v>
      </c>
      <c r="C22" s="527">
        <v>0.85</v>
      </c>
      <c r="D22" s="224" t="s">
        <v>1338</v>
      </c>
      <c r="E22" s="527" t="s">
        <v>1339</v>
      </c>
      <c r="F22" s="72">
        <v>0.738</v>
      </c>
      <c r="G22" s="527" t="s">
        <v>1340</v>
      </c>
      <c r="H22" s="527" t="s">
        <v>1341</v>
      </c>
      <c r="I22" s="72">
        <v>0.737</v>
      </c>
      <c r="J22" s="72" t="s">
        <v>1342</v>
      </c>
      <c r="K22" s="72" t="s">
        <v>1343</v>
      </c>
      <c r="L22" s="72">
        <v>0.628</v>
      </c>
      <c r="M22" s="72" t="s">
        <v>1344</v>
      </c>
      <c r="N22" s="72" t="s">
        <v>1345</v>
      </c>
      <c r="O22" s="72">
        <v>0.899</v>
      </c>
      <c r="P22" s="72" t="s">
        <v>1346</v>
      </c>
      <c r="Q22" s="146" t="s">
        <v>1347</v>
      </c>
      <c r="R22" s="517">
        <v>0.526</v>
      </c>
      <c r="S22" s="518" t="s">
        <v>1348</v>
      </c>
      <c r="T22" s="518">
        <v>0.116</v>
      </c>
      <c r="U22" s="518" t="s">
        <v>711</v>
      </c>
      <c r="V22" s="518">
        <v>0.452</v>
      </c>
      <c r="W22" s="518" t="s">
        <v>1349</v>
      </c>
      <c r="X22" s="666"/>
      <c r="Y22" s="666"/>
      <c r="Z22" s="520">
        <v>0.398</v>
      </c>
      <c r="AA22" s="521" t="s">
        <v>1350</v>
      </c>
      <c r="AB22" s="522"/>
      <c r="AC22" s="72"/>
      <c r="AD22" s="72"/>
      <c r="AE22" s="72"/>
      <c r="AF22" s="72"/>
      <c r="AG22" s="72"/>
      <c r="AH22" s="72"/>
      <c r="AI22" s="72"/>
      <c r="AJ22" s="72"/>
      <c r="AK22" s="224"/>
      <c r="AL22" s="224"/>
      <c r="AM22" s="224"/>
      <c r="AN22" s="224"/>
      <c r="AO22" s="224"/>
      <c r="AP22" s="522"/>
      <c r="AQ22" s="72"/>
      <c r="AR22" s="72"/>
      <c r="AS22" s="72"/>
      <c r="AT22" s="72"/>
      <c r="AU22" s="72"/>
      <c r="AV22" s="518"/>
      <c r="AW22" s="72"/>
      <c r="AX22" s="72"/>
      <c r="AY22" s="518"/>
      <c r="AZ22" s="518" t="s">
        <v>692</v>
      </c>
      <c r="BA22" s="521"/>
      <c r="BB22" s="642"/>
      <c r="BC22" s="642"/>
      <c r="BD22" s="642"/>
      <c r="BE22" s="642"/>
      <c r="BF22" s="642"/>
      <c r="BG22" s="642"/>
      <c r="BH22" s="522"/>
      <c r="BI22" s="72"/>
      <c r="BJ22" s="72"/>
      <c r="BK22" s="72"/>
      <c r="BL22" s="72"/>
      <c r="BM22" s="72"/>
      <c r="BN22" s="72"/>
      <c r="BO22" s="72"/>
      <c r="BP22" s="72"/>
      <c r="BQ22" s="517"/>
      <c r="BR22" s="518"/>
      <c r="BS22" s="518"/>
      <c r="BT22" s="518"/>
      <c r="BU22" s="518"/>
      <c r="BV22" s="72"/>
      <c r="BW22" s="72"/>
      <c r="BX22" s="72"/>
      <c r="BY22" s="518"/>
      <c r="BZ22" s="72"/>
      <c r="CA22" s="72"/>
      <c r="CB22" s="72"/>
      <c r="CC22" s="518"/>
      <c r="CD22" s="518"/>
      <c r="CE22" s="521"/>
    </row>
    <row r="23">
      <c r="A23" s="590"/>
      <c r="B23" s="514" t="s">
        <v>713</v>
      </c>
      <c r="C23" s="522">
        <v>0.87</v>
      </c>
      <c r="D23" s="527" t="s">
        <v>1351</v>
      </c>
      <c r="E23" s="527" t="s">
        <v>1352</v>
      </c>
      <c r="F23" s="72">
        <v>0.759</v>
      </c>
      <c r="G23" s="527" t="s">
        <v>1353</v>
      </c>
      <c r="H23" s="527" t="s">
        <v>1354</v>
      </c>
      <c r="I23" s="72">
        <v>0.733</v>
      </c>
      <c r="J23" s="72" t="s">
        <v>1355</v>
      </c>
      <c r="K23" s="72" t="s">
        <v>1356</v>
      </c>
      <c r="L23" s="72">
        <v>0.608</v>
      </c>
      <c r="M23" s="72" t="s">
        <v>1357</v>
      </c>
      <c r="N23" s="72" t="s">
        <v>1358</v>
      </c>
      <c r="O23" s="72">
        <v>0.841</v>
      </c>
      <c r="P23" s="72" t="s">
        <v>1359</v>
      </c>
      <c r="Q23" s="146" t="s">
        <v>1360</v>
      </c>
      <c r="R23" s="517">
        <v>0.505</v>
      </c>
      <c r="S23" s="518" t="s">
        <v>1361</v>
      </c>
      <c r="T23" s="518">
        <v>0.107</v>
      </c>
      <c r="U23" s="518" t="s">
        <v>1362</v>
      </c>
      <c r="V23" s="518">
        <v>0.417</v>
      </c>
      <c r="W23" s="518" t="s">
        <v>1363</v>
      </c>
      <c r="X23" s="666"/>
      <c r="Y23" s="666"/>
      <c r="Z23" s="520">
        <v>0.482</v>
      </c>
      <c r="AA23" s="521" t="s">
        <v>1364</v>
      </c>
      <c r="AB23" s="522"/>
      <c r="AC23" s="72"/>
      <c r="AD23" s="72"/>
      <c r="AE23" s="72"/>
      <c r="AF23" s="72"/>
      <c r="AG23" s="72"/>
      <c r="AH23" s="72"/>
      <c r="AI23" s="72"/>
      <c r="AJ23" s="72"/>
      <c r="AK23" s="224"/>
      <c r="AL23" s="224"/>
      <c r="AM23" s="224"/>
      <c r="AN23" s="224"/>
      <c r="AO23" s="224"/>
      <c r="AP23" s="522"/>
      <c r="AQ23" s="72"/>
      <c r="AR23" s="72"/>
      <c r="AS23" s="72"/>
      <c r="AT23" s="72"/>
      <c r="AU23" s="72"/>
      <c r="AV23" s="518"/>
      <c r="AW23" s="72"/>
      <c r="AX23" s="72"/>
      <c r="AY23" s="518"/>
      <c r="AZ23" s="518"/>
      <c r="BA23" s="521"/>
      <c r="BB23" s="642"/>
      <c r="BC23" s="642"/>
      <c r="BD23" s="642"/>
      <c r="BE23" s="642"/>
      <c r="BF23" s="642"/>
      <c r="BG23" s="642"/>
      <c r="BH23" s="522"/>
      <c r="BI23" s="72"/>
      <c r="BJ23" s="72"/>
      <c r="BK23" s="72"/>
      <c r="BL23" s="72"/>
      <c r="BM23" s="72"/>
      <c r="BN23" s="72"/>
      <c r="BO23" s="72"/>
      <c r="BP23" s="72"/>
      <c r="BQ23" s="517"/>
      <c r="BR23" s="518"/>
      <c r="BS23" s="518"/>
      <c r="BT23" s="518"/>
      <c r="BU23" s="518"/>
      <c r="BV23" s="72"/>
      <c r="BW23" s="72"/>
      <c r="BX23" s="72"/>
      <c r="BY23" s="518"/>
      <c r="BZ23" s="72"/>
      <c r="CA23" s="72"/>
      <c r="CB23" s="72"/>
      <c r="CC23" s="518"/>
      <c r="CD23" s="518"/>
      <c r="CE23" s="521"/>
    </row>
    <row r="24" hidden="1">
      <c r="A24" s="590"/>
      <c r="B24" s="514" t="s">
        <v>720</v>
      </c>
      <c r="C24" s="522"/>
      <c r="D24" s="527"/>
      <c r="E24" s="527"/>
      <c r="F24" s="72"/>
      <c r="G24" s="527"/>
      <c r="H24" s="527"/>
      <c r="I24" s="72"/>
      <c r="J24" s="26"/>
      <c r="K24" s="26"/>
      <c r="L24" s="72"/>
      <c r="M24" s="72"/>
      <c r="N24" s="72"/>
      <c r="O24" s="72"/>
      <c r="P24" s="72"/>
      <c r="Q24" s="146"/>
      <c r="R24" s="517"/>
      <c r="S24" s="518"/>
      <c r="T24" s="518"/>
      <c r="U24" s="518"/>
      <c r="V24" s="518"/>
      <c r="W24" s="518"/>
      <c r="X24" s="666"/>
      <c r="Y24" s="666"/>
      <c r="Z24" s="520"/>
      <c r="AA24" s="521"/>
      <c r="AB24" s="522"/>
      <c r="AC24" s="72"/>
      <c r="AD24" s="72"/>
      <c r="AE24" s="72"/>
      <c r="AF24" s="72"/>
      <c r="AG24" s="72"/>
      <c r="AH24" s="72"/>
      <c r="AI24" s="72"/>
      <c r="AJ24" s="72"/>
      <c r="AK24" s="224"/>
      <c r="AL24" s="224"/>
      <c r="AM24" s="224"/>
      <c r="AN24" s="224"/>
      <c r="AO24" s="224"/>
      <c r="AP24" s="522"/>
      <c r="AQ24" s="72"/>
      <c r="AR24" s="72"/>
      <c r="AS24" s="72"/>
      <c r="AT24" s="72"/>
      <c r="AU24" s="72"/>
      <c r="AV24" s="518"/>
      <c r="AW24" s="72"/>
      <c r="AX24" s="72"/>
      <c r="AY24" s="518"/>
      <c r="AZ24" s="518"/>
      <c r="BA24" s="521"/>
      <c r="BB24" s="642"/>
      <c r="BC24" s="642"/>
      <c r="BD24" s="642"/>
      <c r="BE24" s="642"/>
      <c r="BF24" s="642"/>
      <c r="BG24" s="642"/>
      <c r="BH24" s="522"/>
      <c r="BI24" s="72"/>
      <c r="BJ24" s="72"/>
      <c r="BK24" s="72"/>
      <c r="BL24" s="72"/>
      <c r="BM24" s="72"/>
      <c r="BN24" s="72"/>
      <c r="BO24" s="72"/>
      <c r="BP24" s="72"/>
      <c r="BQ24" s="517"/>
      <c r="BR24" s="518"/>
      <c r="BS24" s="518"/>
      <c r="BT24" s="518"/>
      <c r="BU24" s="518"/>
      <c r="BV24" s="72"/>
      <c r="BW24" s="72"/>
      <c r="BX24" s="72"/>
      <c r="BY24" s="518"/>
      <c r="BZ24" s="72"/>
      <c r="CA24" s="72"/>
      <c r="CB24" s="72"/>
      <c r="CC24" s="518"/>
      <c r="CD24" s="518"/>
      <c r="CE24" s="521"/>
    </row>
    <row r="25" hidden="1">
      <c r="A25" s="590"/>
      <c r="B25" s="514" t="s">
        <v>1735</v>
      </c>
      <c r="C25" s="522"/>
      <c r="D25" s="527" t="s">
        <v>1736</v>
      </c>
      <c r="E25" s="527"/>
      <c r="F25" s="72"/>
      <c r="G25" s="527" t="s">
        <v>1184</v>
      </c>
      <c r="H25" s="527"/>
      <c r="I25" s="72"/>
      <c r="J25" s="72" t="s">
        <v>1737</v>
      </c>
      <c r="K25" s="72"/>
      <c r="L25" s="72"/>
      <c r="M25" s="72" t="s">
        <v>1738</v>
      </c>
      <c r="N25" s="72"/>
      <c r="O25" s="72"/>
      <c r="P25" s="72" t="s">
        <v>1739</v>
      </c>
      <c r="Q25" s="146"/>
      <c r="R25" s="517"/>
      <c r="S25" s="518"/>
      <c r="T25" s="518"/>
      <c r="U25" s="518" t="s">
        <v>1740</v>
      </c>
      <c r="V25" s="518"/>
      <c r="W25" s="518"/>
      <c r="X25" s="666"/>
      <c r="Y25" s="666"/>
      <c r="Z25" s="520"/>
      <c r="AA25" s="644" t="s">
        <v>1741</v>
      </c>
      <c r="AB25" s="522"/>
      <c r="AC25" s="72" t="s">
        <v>1742</v>
      </c>
      <c r="AD25" s="72"/>
      <c r="AE25" s="72" t="s">
        <v>1743</v>
      </c>
      <c r="AF25" s="72"/>
      <c r="AG25" s="72" t="s">
        <v>2082</v>
      </c>
      <c r="AH25" s="72"/>
      <c r="AI25" s="72" t="s">
        <v>1745</v>
      </c>
      <c r="AJ25" s="72"/>
      <c r="AK25" s="224"/>
      <c r="AL25" s="224"/>
      <c r="AM25" s="224"/>
      <c r="AN25" s="224"/>
      <c r="AO25" s="224"/>
      <c r="AP25" s="522"/>
      <c r="AQ25" s="72"/>
      <c r="AR25" s="72"/>
      <c r="AS25" s="72"/>
      <c r="AT25" s="72"/>
      <c r="AU25" s="72"/>
      <c r="AV25" s="518"/>
      <c r="AW25" s="72"/>
      <c r="AX25" s="72"/>
      <c r="AY25" s="518"/>
      <c r="AZ25" s="518"/>
      <c r="BA25" s="521"/>
      <c r="BB25" s="642"/>
      <c r="BC25" s="642"/>
      <c r="BD25" s="642"/>
      <c r="BE25" s="642"/>
      <c r="BF25" s="642"/>
      <c r="BG25" s="642"/>
      <c r="BH25" s="522"/>
      <c r="BI25" s="72"/>
      <c r="BJ25" s="72"/>
      <c r="BK25" s="72"/>
      <c r="BL25" s="72"/>
      <c r="BM25" s="72"/>
      <c r="BN25" s="72"/>
      <c r="BO25" s="72"/>
      <c r="BP25" s="72"/>
      <c r="BQ25" s="517"/>
      <c r="BR25" s="518"/>
      <c r="BS25" s="518"/>
      <c r="BT25" s="518"/>
      <c r="BU25" s="518"/>
      <c r="BV25" s="72"/>
      <c r="BW25" s="72"/>
      <c r="BX25" s="72"/>
      <c r="BY25" s="518"/>
      <c r="BZ25" s="72"/>
      <c r="CA25" s="72"/>
      <c r="CB25" s="72"/>
      <c r="CC25" s="518"/>
      <c r="CD25" s="518"/>
      <c r="CE25" s="521"/>
    </row>
    <row r="26" hidden="1">
      <c r="A26" s="590"/>
      <c r="B26" s="514" t="s">
        <v>1746</v>
      </c>
      <c r="C26" s="522"/>
      <c r="D26" s="527" t="s">
        <v>1747</v>
      </c>
      <c r="E26" s="527"/>
      <c r="F26" s="72"/>
      <c r="G26" s="527" t="s">
        <v>1748</v>
      </c>
      <c r="H26" s="527"/>
      <c r="I26" s="72"/>
      <c r="J26" s="72" t="s">
        <v>1749</v>
      </c>
      <c r="K26" s="72"/>
      <c r="L26" s="72"/>
      <c r="M26" s="72" t="s">
        <v>1750</v>
      </c>
      <c r="N26" s="72"/>
      <c r="O26" s="72"/>
      <c r="P26" s="72" t="s">
        <v>1751</v>
      </c>
      <c r="Q26" s="146"/>
      <c r="R26" s="517"/>
      <c r="S26" s="518"/>
      <c r="T26" s="518"/>
      <c r="U26" s="518"/>
      <c r="V26" s="518"/>
      <c r="W26" s="518"/>
      <c r="X26" s="666"/>
      <c r="Y26" s="666"/>
      <c r="Z26" s="520"/>
      <c r="AA26" s="521"/>
      <c r="AB26" s="522"/>
      <c r="AC26" s="72"/>
      <c r="AD26" s="72"/>
      <c r="AE26" s="72"/>
      <c r="AF26" s="72"/>
      <c r="AG26" s="72"/>
      <c r="AH26" s="72"/>
      <c r="AI26" s="72"/>
      <c r="AJ26" s="72"/>
      <c r="AK26" s="224"/>
      <c r="AL26" s="224"/>
      <c r="AM26" s="224"/>
      <c r="AN26" s="224"/>
      <c r="AO26" s="224"/>
      <c r="AP26" s="522"/>
      <c r="AQ26" s="72"/>
      <c r="AR26" s="72"/>
      <c r="AS26" s="72"/>
      <c r="AT26" s="72"/>
      <c r="AU26" s="72"/>
      <c r="AV26" s="518"/>
      <c r="AW26" s="72"/>
      <c r="AX26" s="72"/>
      <c r="AY26" s="518"/>
      <c r="AZ26" s="518"/>
      <c r="BA26" s="521"/>
      <c r="BB26" s="642"/>
      <c r="BC26" s="642"/>
      <c r="BD26" s="642"/>
      <c r="BE26" s="642"/>
      <c r="BF26" s="642"/>
      <c r="BG26" s="642"/>
      <c r="BH26" s="522"/>
      <c r="BI26" s="72"/>
      <c r="BJ26" s="72"/>
      <c r="BK26" s="72"/>
      <c r="BL26" s="72"/>
      <c r="BM26" s="72"/>
      <c r="BN26" s="72"/>
      <c r="BO26" s="72"/>
      <c r="BP26" s="72"/>
      <c r="BQ26" s="517"/>
      <c r="BR26" s="518"/>
      <c r="BS26" s="518"/>
      <c r="BT26" s="518"/>
      <c r="BU26" s="518"/>
      <c r="BV26" s="72"/>
      <c r="BW26" s="72"/>
      <c r="BX26" s="72"/>
      <c r="BY26" s="518"/>
      <c r="BZ26" s="72"/>
      <c r="CA26" s="72"/>
      <c r="CB26" s="72"/>
      <c r="CC26" s="518"/>
      <c r="CD26" s="518"/>
      <c r="CE26" s="521"/>
    </row>
    <row r="27" hidden="1">
      <c r="A27" s="590"/>
      <c r="B27" s="514" t="s">
        <v>1752</v>
      </c>
      <c r="C27" s="522"/>
      <c r="D27" s="527" t="s">
        <v>1753</v>
      </c>
      <c r="E27" s="527"/>
      <c r="F27" s="72"/>
      <c r="G27" s="527" t="s">
        <v>1754</v>
      </c>
      <c r="H27" s="527"/>
      <c r="I27" s="72"/>
      <c r="J27" s="72" t="s">
        <v>1755</v>
      </c>
      <c r="K27" s="72"/>
      <c r="L27" s="72"/>
      <c r="M27" s="72" t="s">
        <v>1756</v>
      </c>
      <c r="N27" s="72"/>
      <c r="O27" s="72"/>
      <c r="P27" s="72" t="s">
        <v>1757</v>
      </c>
      <c r="Q27" s="146"/>
      <c r="R27" s="517"/>
      <c r="S27" s="518"/>
      <c r="T27" s="518"/>
      <c r="U27" s="518"/>
      <c r="V27" s="518"/>
      <c r="W27" s="518"/>
      <c r="X27" s="666"/>
      <c r="Y27" s="666"/>
      <c r="Z27" s="520"/>
      <c r="AA27" s="521"/>
      <c r="AB27" s="522"/>
      <c r="AC27" s="72"/>
      <c r="AD27" s="72"/>
      <c r="AE27" s="72"/>
      <c r="AF27" s="72"/>
      <c r="AG27" s="72"/>
      <c r="AH27" s="72"/>
      <c r="AI27" s="72"/>
      <c r="AJ27" s="72"/>
      <c r="AK27" s="224"/>
      <c r="AL27" s="224"/>
      <c r="AM27" s="224"/>
      <c r="AN27" s="224"/>
      <c r="AO27" s="224"/>
      <c r="AP27" s="522"/>
      <c r="AQ27" s="72"/>
      <c r="AR27" s="72"/>
      <c r="AS27" s="72"/>
      <c r="AT27" s="72"/>
      <c r="AU27" s="72"/>
      <c r="AV27" s="518"/>
      <c r="AW27" s="72"/>
      <c r="AX27" s="72"/>
      <c r="AY27" s="518"/>
      <c r="AZ27" s="518"/>
      <c r="BA27" s="521"/>
      <c r="BB27" s="642"/>
      <c r="BC27" s="642"/>
      <c r="BD27" s="642"/>
      <c r="BE27" s="642"/>
      <c r="BF27" s="642"/>
      <c r="BG27" s="642"/>
      <c r="BH27" s="522"/>
      <c r="BI27" s="72"/>
      <c r="BJ27" s="72"/>
      <c r="BK27" s="72"/>
      <c r="BL27" s="72"/>
      <c r="BM27" s="72"/>
      <c r="BN27" s="72"/>
      <c r="BO27" s="72"/>
      <c r="BP27" s="72"/>
      <c r="BQ27" s="517"/>
      <c r="BR27" s="518"/>
      <c r="BS27" s="518"/>
      <c r="BT27" s="518"/>
      <c r="BU27" s="518"/>
      <c r="BV27" s="72"/>
      <c r="BW27" s="72"/>
      <c r="BX27" s="72"/>
      <c r="BY27" s="518"/>
      <c r="BZ27" s="72"/>
      <c r="CA27" s="72"/>
      <c r="CB27" s="72"/>
      <c r="CC27" s="518"/>
      <c r="CD27" s="518"/>
      <c r="CE27" s="521"/>
    </row>
    <row r="28" hidden="1">
      <c r="A28" s="590"/>
      <c r="B28" s="514" t="s">
        <v>1758</v>
      </c>
      <c r="C28" s="522">
        <v>0.802</v>
      </c>
      <c r="D28" s="72" t="s">
        <v>1759</v>
      </c>
      <c r="E28" s="72"/>
      <c r="F28" s="72" t="s">
        <v>1142</v>
      </c>
      <c r="G28" s="72" t="s">
        <v>1760</v>
      </c>
      <c r="H28" s="72"/>
      <c r="I28" s="72">
        <v>0.648</v>
      </c>
      <c r="J28" s="72" t="s">
        <v>1761</v>
      </c>
      <c r="K28" s="72"/>
      <c r="L28" s="72">
        <v>0.443</v>
      </c>
      <c r="M28" s="72" t="s">
        <v>1762</v>
      </c>
      <c r="N28" s="72"/>
      <c r="O28" s="72">
        <v>0.827</v>
      </c>
      <c r="P28" s="72" t="s">
        <v>1763</v>
      </c>
      <c r="Q28" s="146"/>
      <c r="R28" s="517"/>
      <c r="S28" s="518"/>
      <c r="T28" s="518"/>
      <c r="U28" s="518" t="s">
        <v>1764</v>
      </c>
      <c r="V28" s="518"/>
      <c r="W28" s="518"/>
      <c r="X28" s="666"/>
      <c r="Y28" s="666"/>
      <c r="Z28" s="520"/>
      <c r="AA28" s="521"/>
      <c r="AB28" s="522"/>
      <c r="AC28" s="72"/>
      <c r="AD28" s="72"/>
      <c r="AE28" s="72"/>
      <c r="AF28" s="72"/>
      <c r="AG28" s="72"/>
      <c r="AH28" s="72"/>
      <c r="AI28" s="72"/>
      <c r="AJ28" s="72"/>
      <c r="AP28" s="522"/>
      <c r="AQ28" s="72"/>
      <c r="AR28" s="72"/>
      <c r="AS28" s="72"/>
      <c r="AT28" s="72"/>
      <c r="AU28" s="72"/>
      <c r="AV28" s="518"/>
      <c r="AW28" s="72"/>
      <c r="AX28" s="72"/>
      <c r="AY28" s="518"/>
      <c r="AZ28" s="518"/>
      <c r="BA28" s="521"/>
      <c r="BB28" s="642"/>
      <c r="BC28" s="642"/>
      <c r="BD28" s="642"/>
      <c r="BE28" s="642"/>
      <c r="BF28" s="642"/>
      <c r="BG28" s="642"/>
      <c r="BH28" s="522"/>
      <c r="BI28" s="72"/>
      <c r="BJ28" s="72"/>
      <c r="BK28" s="72"/>
      <c r="BL28" s="72"/>
      <c r="BM28" s="72"/>
      <c r="BN28" s="72"/>
      <c r="BO28" s="72"/>
      <c r="BP28" s="72"/>
      <c r="BQ28" s="517"/>
      <c r="BR28" s="518"/>
      <c r="BS28" s="518"/>
      <c r="BT28" s="518"/>
      <c r="BU28" s="518"/>
      <c r="BV28" s="72"/>
      <c r="BW28" s="72"/>
      <c r="BX28" s="72"/>
      <c r="BY28" s="518"/>
      <c r="BZ28" s="72"/>
      <c r="CA28" s="72"/>
      <c r="CB28" s="72"/>
      <c r="CC28" s="518"/>
      <c r="CD28" s="518"/>
      <c r="CE28" s="521"/>
    </row>
    <row r="29" hidden="1">
      <c r="A29" s="590"/>
      <c r="B29" s="514" t="s">
        <v>1765</v>
      </c>
      <c r="C29" s="522">
        <v>0.829</v>
      </c>
      <c r="D29" s="72" t="s">
        <v>1766</v>
      </c>
      <c r="E29" s="527" t="s">
        <v>1767</v>
      </c>
      <c r="F29" s="72">
        <v>0.708</v>
      </c>
      <c r="G29" s="72" t="s">
        <v>1768</v>
      </c>
      <c r="H29" s="527" t="s">
        <v>1769</v>
      </c>
      <c r="I29" s="72">
        <v>0.693</v>
      </c>
      <c r="J29" s="72" t="s">
        <v>1770</v>
      </c>
      <c r="K29" s="72" t="s">
        <v>1771</v>
      </c>
      <c r="L29" s="72">
        <v>0.431</v>
      </c>
      <c r="M29" s="72" t="s">
        <v>1772</v>
      </c>
      <c r="N29" s="72"/>
      <c r="O29" s="72">
        <v>0.827</v>
      </c>
      <c r="P29" s="72" t="s">
        <v>1773</v>
      </c>
      <c r="Q29" s="146" t="s">
        <v>1774</v>
      </c>
      <c r="R29" s="517"/>
      <c r="S29" s="518" t="s">
        <v>1775</v>
      </c>
      <c r="T29" s="518"/>
      <c r="U29" s="518"/>
      <c r="V29" s="518"/>
      <c r="W29" s="518"/>
      <c r="X29" s="666"/>
      <c r="Y29" s="666"/>
      <c r="Z29" s="520"/>
      <c r="AA29" s="521" t="s">
        <v>1776</v>
      </c>
      <c r="AB29" s="522"/>
      <c r="AC29" s="72" t="s">
        <v>1777</v>
      </c>
      <c r="AD29" s="72"/>
      <c r="AE29" s="72" t="s">
        <v>1778</v>
      </c>
      <c r="AF29" s="72"/>
      <c r="AG29" s="72" t="s">
        <v>1779</v>
      </c>
      <c r="AH29" s="72"/>
      <c r="AI29" s="72" t="s">
        <v>1780</v>
      </c>
      <c r="AJ29" s="72"/>
      <c r="AK29" s="224" t="s">
        <v>1781</v>
      </c>
      <c r="AL29" s="224"/>
      <c r="AM29" s="224"/>
      <c r="AN29" s="224"/>
      <c r="AO29" s="224"/>
      <c r="AP29" s="522" t="s">
        <v>1782</v>
      </c>
      <c r="AQ29" s="72" t="s">
        <v>1783</v>
      </c>
      <c r="AR29" s="72" t="s">
        <v>1784</v>
      </c>
      <c r="AS29" s="72" t="s">
        <v>1785</v>
      </c>
      <c r="AT29" s="72" t="s">
        <v>1786</v>
      </c>
      <c r="AU29" s="531" t="s">
        <v>1784</v>
      </c>
      <c r="AV29" s="518">
        <v>0.87</v>
      </c>
      <c r="AW29" s="72" t="s">
        <v>1787</v>
      </c>
      <c r="AX29" s="72" t="s">
        <v>1788</v>
      </c>
      <c r="AY29" s="518"/>
      <c r="AZ29" s="518"/>
      <c r="BA29" s="521"/>
      <c r="BB29" s="642"/>
      <c r="BC29" s="642"/>
      <c r="BD29" s="642"/>
      <c r="BE29" s="642"/>
      <c r="BF29" s="642"/>
      <c r="BG29" s="642"/>
      <c r="BH29" s="522"/>
      <c r="BI29" s="72"/>
      <c r="BJ29" s="72"/>
      <c r="BK29" s="72"/>
      <c r="BL29" s="72"/>
      <c r="BM29" s="72"/>
      <c r="BN29" s="72"/>
      <c r="BO29" s="72"/>
      <c r="BP29" s="72"/>
      <c r="BQ29" s="517"/>
      <c r="BR29" s="518"/>
      <c r="BS29" s="518"/>
      <c r="BT29" s="518"/>
      <c r="BU29" s="518"/>
      <c r="BV29" s="72" t="s">
        <v>1789</v>
      </c>
      <c r="BW29" s="72"/>
      <c r="BX29" s="72" t="s">
        <v>1790</v>
      </c>
      <c r="BY29" s="518"/>
      <c r="BZ29" s="72" t="s">
        <v>1791</v>
      </c>
      <c r="CA29" s="72"/>
      <c r="CB29" s="72"/>
      <c r="CC29" s="518"/>
      <c r="CD29" s="518"/>
      <c r="CE29" s="521"/>
    </row>
    <row r="30" hidden="1">
      <c r="A30" s="590"/>
      <c r="B30" s="514" t="s">
        <v>1792</v>
      </c>
      <c r="C30" s="522"/>
      <c r="D30" s="72"/>
      <c r="E30" s="527"/>
      <c r="F30" s="72"/>
      <c r="G30" s="72"/>
      <c r="H30" s="527"/>
      <c r="I30" s="72"/>
      <c r="J30" s="72" t="s">
        <v>1793</v>
      </c>
      <c r="K30" s="72"/>
      <c r="L30" s="72"/>
      <c r="M30" s="72"/>
      <c r="N30" s="72"/>
      <c r="O30" s="72"/>
      <c r="P30" s="72"/>
      <c r="Q30" s="146"/>
      <c r="R30" s="517"/>
      <c r="S30" s="518"/>
      <c r="T30" s="518"/>
      <c r="U30" s="518"/>
      <c r="V30" s="518"/>
      <c r="W30" s="518"/>
      <c r="X30" s="666"/>
      <c r="Y30" s="666"/>
      <c r="Z30" s="520"/>
      <c r="AA30" s="521"/>
      <c r="AB30" s="522"/>
      <c r="AC30" s="72"/>
      <c r="AD30" s="72"/>
      <c r="AE30" s="72"/>
      <c r="AF30" s="72"/>
      <c r="AG30" s="72"/>
      <c r="AH30" s="72"/>
      <c r="AI30" s="72"/>
      <c r="AJ30" s="72"/>
      <c r="AK30" s="224"/>
      <c r="AL30" s="224"/>
      <c r="AM30" s="224"/>
      <c r="AN30" s="224"/>
      <c r="AO30" s="224"/>
      <c r="AP30" s="522"/>
      <c r="AQ30" s="72"/>
      <c r="AR30" s="72"/>
      <c r="AS30" s="72"/>
      <c r="AT30" s="72"/>
      <c r="AU30" s="531"/>
      <c r="AV30" s="518"/>
      <c r="AW30" s="72"/>
      <c r="AX30" s="72"/>
      <c r="AY30" s="518"/>
      <c r="AZ30" s="518"/>
      <c r="BA30" s="521"/>
      <c r="BB30" s="642"/>
      <c r="BC30" s="642"/>
      <c r="BD30" s="642"/>
      <c r="BE30" s="642"/>
      <c r="BF30" s="642"/>
      <c r="BG30" s="642"/>
      <c r="BH30" s="522"/>
      <c r="BI30" s="72"/>
      <c r="BJ30" s="72"/>
      <c r="BK30" s="72"/>
      <c r="BL30" s="72"/>
      <c r="BM30" s="72"/>
      <c r="BN30" s="72"/>
      <c r="BO30" s="72"/>
      <c r="BP30" s="72"/>
      <c r="BQ30" s="517"/>
      <c r="BR30" s="518"/>
      <c r="BS30" s="518"/>
      <c r="BT30" s="518"/>
      <c r="BU30" s="518"/>
      <c r="BV30" s="72"/>
      <c r="BW30" s="72"/>
      <c r="BX30" s="72"/>
      <c r="BY30" s="518"/>
      <c r="BZ30" s="72"/>
      <c r="CA30" s="72"/>
      <c r="CB30" s="72"/>
      <c r="CC30" s="518"/>
      <c r="CD30" s="518"/>
      <c r="CE30" s="521"/>
    </row>
    <row r="31" hidden="1">
      <c r="A31" s="590"/>
      <c r="B31" s="660" t="s">
        <v>1794</v>
      </c>
      <c r="C31" s="522">
        <v>0.92</v>
      </c>
      <c r="D31" s="531" t="s">
        <v>1795</v>
      </c>
      <c r="E31" s="72" t="s">
        <v>1796</v>
      </c>
      <c r="F31" s="531">
        <v>0.81</v>
      </c>
      <c r="G31" s="531" t="s">
        <v>1797</v>
      </c>
      <c r="H31" s="72" t="s">
        <v>1798</v>
      </c>
      <c r="I31" s="72">
        <v>0.736</v>
      </c>
      <c r="J31" s="72" t="s">
        <v>1799</v>
      </c>
      <c r="K31" s="72" t="s">
        <v>1800</v>
      </c>
      <c r="L31" s="72">
        <v>0.628</v>
      </c>
      <c r="M31" s="72" t="s">
        <v>1801</v>
      </c>
      <c r="N31" s="72" t="s">
        <v>1802</v>
      </c>
      <c r="O31" s="72">
        <v>0.842</v>
      </c>
      <c r="P31" s="72" t="s">
        <v>1803</v>
      </c>
      <c r="Q31" s="146" t="s">
        <v>1804</v>
      </c>
      <c r="R31" s="517">
        <v>0.518</v>
      </c>
      <c r="S31" s="518" t="s">
        <v>2083</v>
      </c>
      <c r="T31" s="518">
        <v>0.004</v>
      </c>
      <c r="U31" s="518" t="s">
        <v>2084</v>
      </c>
      <c r="V31" s="518"/>
      <c r="W31" s="518"/>
      <c r="X31" s="666"/>
      <c r="Y31" s="666"/>
      <c r="Z31" s="520"/>
      <c r="AA31" s="521" t="s">
        <v>2085</v>
      </c>
      <c r="AB31" s="522"/>
      <c r="AC31" s="72" t="s">
        <v>1808</v>
      </c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522" t="s">
        <v>1809</v>
      </c>
      <c r="AQ31" s="72" t="s">
        <v>1810</v>
      </c>
      <c r="AR31" s="72" t="s">
        <v>1811</v>
      </c>
      <c r="AS31" s="224" t="s">
        <v>1812</v>
      </c>
      <c r="AT31" s="224" t="s">
        <v>1813</v>
      </c>
      <c r="AU31" s="224" t="s">
        <v>1814</v>
      </c>
      <c r="AV31" s="518"/>
      <c r="AW31" s="72" t="s">
        <v>1815</v>
      </c>
      <c r="AX31" s="72" t="s">
        <v>1816</v>
      </c>
      <c r="AY31" s="518"/>
      <c r="AZ31" s="518"/>
      <c r="BA31" s="521"/>
      <c r="BB31" s="642"/>
      <c r="BC31" s="642"/>
      <c r="BD31" s="642"/>
      <c r="BE31" s="642"/>
      <c r="BF31" s="642"/>
      <c r="BG31" s="642"/>
      <c r="BH31" s="522"/>
      <c r="BI31" s="72"/>
      <c r="BJ31" s="72"/>
      <c r="BK31" s="72"/>
      <c r="BL31" s="72"/>
      <c r="BM31" s="72"/>
      <c r="BN31" s="72"/>
      <c r="BO31" s="72"/>
      <c r="BP31" s="72"/>
      <c r="BQ31" s="517"/>
      <c r="BR31" s="518"/>
      <c r="BS31" s="518"/>
      <c r="BT31" s="518"/>
      <c r="BU31" s="518"/>
      <c r="BV31" s="72" t="s">
        <v>1817</v>
      </c>
      <c r="BW31" s="72"/>
      <c r="BX31" s="72"/>
      <c r="BY31" s="518"/>
      <c r="BZ31" s="72" t="s">
        <v>1818</v>
      </c>
      <c r="CA31" s="72"/>
      <c r="CB31" s="72" t="s">
        <v>1819</v>
      </c>
      <c r="CC31" s="518"/>
      <c r="CD31" s="518"/>
      <c r="CE31" s="521"/>
    </row>
    <row r="32" hidden="1">
      <c r="A32" s="590"/>
      <c r="B32" s="660" t="s">
        <v>1820</v>
      </c>
      <c r="C32" s="522"/>
      <c r="D32" s="531"/>
      <c r="E32" s="72"/>
      <c r="F32" s="531"/>
      <c r="G32" s="531"/>
      <c r="H32" s="72"/>
      <c r="I32" s="72"/>
      <c r="J32" s="72" t="s">
        <v>1821</v>
      </c>
      <c r="K32" s="72" t="s">
        <v>1822</v>
      </c>
      <c r="L32" s="72"/>
      <c r="M32" s="72" t="s">
        <v>1823</v>
      </c>
      <c r="N32" s="72" t="s">
        <v>1824</v>
      </c>
      <c r="O32" s="72"/>
      <c r="P32" s="72" t="s">
        <v>1825</v>
      </c>
      <c r="Q32" s="146" t="s">
        <v>1826</v>
      </c>
      <c r="R32" s="517"/>
      <c r="S32" s="518"/>
      <c r="T32" s="518"/>
      <c r="U32" s="518"/>
      <c r="V32" s="518"/>
      <c r="W32" s="518"/>
      <c r="X32" s="666"/>
      <c r="Y32" s="666"/>
      <c r="Z32" s="520"/>
      <c r="AA32" s="521"/>
      <c r="AB32" s="522"/>
      <c r="AC32" s="72" t="s">
        <v>1827</v>
      </c>
      <c r="AD32" s="72"/>
      <c r="AE32" s="72" t="s">
        <v>1828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522"/>
      <c r="AQ32" s="636" t="s">
        <v>1829</v>
      </c>
      <c r="AR32" s="636" t="s">
        <v>1067</v>
      </c>
      <c r="AS32" s="72"/>
      <c r="AT32" s="72" t="s">
        <v>1830</v>
      </c>
      <c r="AU32" s="72" t="s">
        <v>1831</v>
      </c>
      <c r="AV32" s="518"/>
      <c r="AW32" s="72" t="s">
        <v>1832</v>
      </c>
      <c r="AX32" s="72" t="s">
        <v>1833</v>
      </c>
      <c r="AY32" s="518"/>
      <c r="AZ32" s="518"/>
      <c r="BA32" s="521"/>
      <c r="BB32" s="642"/>
      <c r="BC32" s="642"/>
      <c r="BD32" s="642"/>
      <c r="BE32" s="642"/>
      <c r="BF32" s="642"/>
      <c r="BG32" s="642"/>
      <c r="BH32" s="522"/>
      <c r="BI32" s="72"/>
      <c r="BJ32" s="72"/>
      <c r="BK32" s="72"/>
      <c r="BL32" s="72"/>
      <c r="BM32" s="72"/>
      <c r="BN32" s="72"/>
      <c r="BO32" s="72"/>
      <c r="BP32" s="72"/>
      <c r="BQ32" s="517"/>
      <c r="BR32" s="518"/>
      <c r="BS32" s="518"/>
      <c r="BT32" s="518"/>
      <c r="BU32" s="518"/>
      <c r="BV32" s="72" t="s">
        <v>1834</v>
      </c>
      <c r="BW32" s="72"/>
      <c r="BX32" s="72"/>
      <c r="BY32" s="518"/>
      <c r="BZ32" s="72"/>
      <c r="CA32" s="72"/>
      <c r="CB32" s="72"/>
      <c r="CC32" s="518"/>
      <c r="CD32" s="518"/>
      <c r="CE32" s="521"/>
    </row>
    <row r="33" hidden="1">
      <c r="A33" s="590"/>
      <c r="B33" s="514" t="s">
        <v>1835</v>
      </c>
      <c r="C33" s="25"/>
      <c r="D33" s="72" t="s">
        <v>1836</v>
      </c>
      <c r="E33" s="72"/>
      <c r="F33" s="72" t="s">
        <v>1142</v>
      </c>
      <c r="G33" s="72" t="s">
        <v>1837</v>
      </c>
      <c r="H33" s="72"/>
      <c r="I33" s="26"/>
      <c r="J33" s="26"/>
      <c r="K33" s="72"/>
      <c r="L33" s="26"/>
      <c r="M33" s="72" t="s">
        <v>1838</v>
      </c>
      <c r="N33" s="72"/>
      <c r="O33" s="72"/>
      <c r="P33" s="72" t="s">
        <v>1839</v>
      </c>
      <c r="Q33" s="146"/>
      <c r="R33" s="517"/>
      <c r="S33" s="518"/>
      <c r="T33" s="518"/>
      <c r="U33" s="518"/>
      <c r="V33" s="518"/>
      <c r="W33" s="518"/>
      <c r="X33" s="666"/>
      <c r="Y33" s="666"/>
      <c r="Z33" s="520"/>
      <c r="AA33" s="521"/>
      <c r="AB33" s="52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522"/>
      <c r="AQ33" s="72"/>
      <c r="AR33" s="72"/>
      <c r="AS33" s="72"/>
      <c r="AT33" s="72"/>
      <c r="AU33" s="72"/>
      <c r="AV33" s="518"/>
      <c r="AW33" s="72"/>
      <c r="AX33" s="72"/>
      <c r="AY33" s="518"/>
      <c r="AZ33" s="518"/>
      <c r="BA33" s="521"/>
      <c r="BB33" s="642"/>
      <c r="BC33" s="642"/>
      <c r="BD33" s="642"/>
      <c r="BE33" s="642"/>
      <c r="BF33" s="642"/>
      <c r="BG33" s="642"/>
      <c r="BH33" s="522"/>
      <c r="BI33" s="72"/>
      <c r="BJ33" s="72"/>
      <c r="BK33" s="72"/>
      <c r="BL33" s="72"/>
      <c r="BM33" s="72"/>
      <c r="BN33" s="72"/>
      <c r="BO33" s="72"/>
      <c r="BP33" s="72"/>
      <c r="BQ33" s="517"/>
      <c r="BR33" s="518"/>
      <c r="BS33" s="518"/>
      <c r="BT33" s="518"/>
      <c r="BU33" s="518"/>
      <c r="BV33" s="72"/>
      <c r="BW33" s="72"/>
      <c r="BX33" s="72"/>
      <c r="BY33" s="518"/>
      <c r="BZ33" s="72"/>
      <c r="CA33" s="72"/>
      <c r="CB33" s="72"/>
      <c r="CC33" s="518"/>
      <c r="CD33" s="518"/>
      <c r="CE33" s="521"/>
    </row>
    <row r="34">
      <c r="A34" s="590"/>
      <c r="B34" s="514" t="s">
        <v>540</v>
      </c>
      <c r="C34" s="522">
        <v>0.855</v>
      </c>
      <c r="D34" s="72" t="s">
        <v>1365</v>
      </c>
      <c r="E34" s="72" t="s">
        <v>1366</v>
      </c>
      <c r="F34" s="72">
        <v>0.266</v>
      </c>
      <c r="G34" s="72" t="s">
        <v>1367</v>
      </c>
      <c r="H34" s="72" t="s">
        <v>1368</v>
      </c>
      <c r="I34" s="72">
        <v>0.8</v>
      </c>
      <c r="J34" s="72" t="s">
        <v>1369</v>
      </c>
      <c r="K34" s="72" t="s">
        <v>1370</v>
      </c>
      <c r="L34" s="72">
        <v>0.654</v>
      </c>
      <c r="M34" s="72" t="s">
        <v>1371</v>
      </c>
      <c r="N34" s="72" t="s">
        <v>1372</v>
      </c>
      <c r="O34" s="72">
        <v>0.784</v>
      </c>
      <c r="P34" s="72" t="s">
        <v>1373</v>
      </c>
      <c r="Q34" s="146" t="s">
        <v>1374</v>
      </c>
      <c r="R34" s="517">
        <v>0.418</v>
      </c>
      <c r="S34" s="518" t="s">
        <v>1377</v>
      </c>
      <c r="T34" s="518">
        <v>0.086</v>
      </c>
      <c r="U34" s="224" t="s">
        <v>1378</v>
      </c>
      <c r="V34" s="518">
        <v>0.534</v>
      </c>
      <c r="W34" s="518" t="s">
        <v>1379</v>
      </c>
      <c r="X34" s="666"/>
      <c r="Y34" s="666"/>
      <c r="Z34" s="520">
        <v>0.263</v>
      </c>
      <c r="AA34" s="521" t="s">
        <v>1381</v>
      </c>
      <c r="AB34" s="522"/>
      <c r="AC34" s="72" t="s">
        <v>1382</v>
      </c>
      <c r="AD34" s="72"/>
      <c r="AE34" s="72" t="s">
        <v>1383</v>
      </c>
      <c r="AF34" s="72"/>
      <c r="AG34" s="72" t="s">
        <v>1384</v>
      </c>
      <c r="AH34" s="72"/>
      <c r="AI34" s="72" t="s">
        <v>1385</v>
      </c>
      <c r="AJ34" s="72"/>
      <c r="AK34" s="72" t="s">
        <v>1386</v>
      </c>
      <c r="AL34" s="72"/>
      <c r="AM34" s="72"/>
      <c r="AN34" s="72"/>
      <c r="AO34" s="72"/>
      <c r="AP34" s="522"/>
      <c r="AQ34" s="72" t="s">
        <v>1387</v>
      </c>
      <c r="AR34" s="72" t="s">
        <v>1388</v>
      </c>
      <c r="AS34" s="72"/>
      <c r="AT34" s="72" t="s">
        <v>1086</v>
      </c>
      <c r="AU34" s="72" t="s">
        <v>1389</v>
      </c>
      <c r="AV34" s="518"/>
      <c r="AW34" s="72" t="s">
        <v>1390</v>
      </c>
      <c r="AX34" s="72" t="s">
        <v>1391</v>
      </c>
      <c r="AY34" s="518"/>
      <c r="AZ34" s="518" t="s">
        <v>1840</v>
      </c>
      <c r="BA34" s="521" t="s">
        <v>1841</v>
      </c>
      <c r="BB34" s="642"/>
      <c r="BC34" s="642"/>
      <c r="BD34" s="642"/>
      <c r="BE34" s="642"/>
      <c r="BF34" s="642"/>
      <c r="BG34" s="642"/>
      <c r="BH34" s="522"/>
      <c r="BI34" s="72"/>
      <c r="BJ34" s="72"/>
      <c r="BK34" s="72"/>
      <c r="BL34" s="72"/>
      <c r="BM34" s="72"/>
      <c r="BN34" s="72"/>
      <c r="BO34" s="72"/>
      <c r="BP34" s="72"/>
      <c r="BQ34" s="517"/>
      <c r="BR34" s="518"/>
      <c r="BS34" s="518"/>
      <c r="BT34" s="518"/>
      <c r="BU34" s="518"/>
      <c r="BV34" s="72"/>
      <c r="BW34" s="72"/>
      <c r="BX34" s="72"/>
      <c r="BY34" s="518"/>
      <c r="BZ34" s="72" t="s">
        <v>1400</v>
      </c>
      <c r="CA34" s="72"/>
      <c r="CB34" s="72"/>
      <c r="CC34" s="518"/>
      <c r="CD34" s="518"/>
      <c r="CE34" s="521"/>
    </row>
    <row r="35">
      <c r="A35" s="590"/>
      <c r="B35" s="514" t="s">
        <v>567</v>
      </c>
      <c r="C35" s="522">
        <v>0.823</v>
      </c>
      <c r="D35" s="72" t="s">
        <v>1405</v>
      </c>
      <c r="E35" s="72" t="s">
        <v>1406</v>
      </c>
      <c r="F35" s="72">
        <v>0.33</v>
      </c>
      <c r="G35" s="72" t="s">
        <v>1407</v>
      </c>
      <c r="H35" s="72" t="s">
        <v>1408</v>
      </c>
      <c r="I35" s="72">
        <v>0.758</v>
      </c>
      <c r="J35" s="72" t="s">
        <v>1409</v>
      </c>
      <c r="K35" s="72" t="s">
        <v>1410</v>
      </c>
      <c r="L35" s="72">
        <v>0.639</v>
      </c>
      <c r="M35" s="72" t="s">
        <v>1411</v>
      </c>
      <c r="N35" s="72" t="s">
        <v>1412</v>
      </c>
      <c r="O35" s="72">
        <v>0.863</v>
      </c>
      <c r="P35" s="72" t="s">
        <v>1413</v>
      </c>
      <c r="Q35" s="146" t="s">
        <v>1414</v>
      </c>
      <c r="R35" s="517">
        <v>0.428</v>
      </c>
      <c r="S35" s="518" t="s">
        <v>1417</v>
      </c>
      <c r="T35" s="518">
        <v>0.087</v>
      </c>
      <c r="U35" s="518" t="s">
        <v>1418</v>
      </c>
      <c r="V35" s="518">
        <v>0.571</v>
      </c>
      <c r="W35" s="518" t="s">
        <v>1419</v>
      </c>
      <c r="X35" s="666"/>
      <c r="Y35" s="666"/>
      <c r="Z35" s="520">
        <v>0.389</v>
      </c>
      <c r="AA35" s="521" t="s">
        <v>1421</v>
      </c>
      <c r="AB35" s="522"/>
      <c r="AC35" s="72" t="s">
        <v>1422</v>
      </c>
      <c r="AD35" s="72"/>
      <c r="AE35" s="72" t="s">
        <v>1423</v>
      </c>
      <c r="AF35" s="72"/>
      <c r="AG35" s="72"/>
      <c r="AH35" s="72"/>
      <c r="AJ35" s="72"/>
      <c r="AK35" s="72"/>
      <c r="AL35" s="72"/>
      <c r="AM35" s="72"/>
      <c r="AN35" s="72"/>
      <c r="AO35" s="72"/>
      <c r="AP35" s="522"/>
      <c r="AQ35" s="72" t="s">
        <v>1427</v>
      </c>
      <c r="AR35" s="72" t="s">
        <v>1428</v>
      </c>
      <c r="AS35" s="72"/>
      <c r="AT35" s="72" t="s">
        <v>1429</v>
      </c>
      <c r="AU35" s="72" t="s">
        <v>1430</v>
      </c>
      <c r="AV35" s="518"/>
      <c r="AW35" s="72"/>
      <c r="AX35" s="72"/>
      <c r="AY35" s="518"/>
      <c r="AZ35" s="518"/>
      <c r="BA35" s="521"/>
      <c r="BB35" s="642"/>
      <c r="BC35" s="642"/>
      <c r="BD35" s="642"/>
      <c r="BE35" s="642"/>
      <c r="BF35" s="642"/>
      <c r="BG35" s="642"/>
      <c r="BH35" s="522"/>
      <c r="BI35" s="72"/>
      <c r="BJ35" s="72"/>
      <c r="BK35" s="72"/>
      <c r="BL35" s="72"/>
      <c r="BM35" s="72"/>
      <c r="BN35" s="72"/>
      <c r="BO35" s="72"/>
      <c r="BP35" s="72"/>
      <c r="BQ35" s="517"/>
      <c r="BR35" s="518"/>
      <c r="BS35" s="518"/>
      <c r="BT35" s="518"/>
      <c r="BU35" s="518"/>
      <c r="BV35" s="72" t="s">
        <v>1438</v>
      </c>
      <c r="BW35" s="72"/>
      <c r="BX35" s="72" t="s">
        <v>1936</v>
      </c>
      <c r="BY35" s="518"/>
      <c r="BZ35" s="72" t="s">
        <v>1441</v>
      </c>
      <c r="CA35" s="72"/>
      <c r="CB35" s="72" t="s">
        <v>1443</v>
      </c>
      <c r="CC35" s="518"/>
      <c r="CD35" s="518"/>
      <c r="CE35" s="521"/>
    </row>
    <row r="36" hidden="1">
      <c r="A36" s="590"/>
      <c r="B36" s="514" t="s">
        <v>1843</v>
      </c>
      <c r="C36" s="25"/>
      <c r="D36" s="72" t="s">
        <v>1844</v>
      </c>
      <c r="E36" s="72"/>
      <c r="F36" s="72"/>
      <c r="G36" s="72" t="s">
        <v>1845</v>
      </c>
      <c r="H36" s="72" t="s">
        <v>1846</v>
      </c>
      <c r="I36" s="26"/>
      <c r="J36" s="72" t="s">
        <v>1847</v>
      </c>
      <c r="K36" s="72" t="s">
        <v>1848</v>
      </c>
      <c r="L36" s="26"/>
      <c r="M36" s="72" t="s">
        <v>1849</v>
      </c>
      <c r="N36" s="72" t="s">
        <v>1850</v>
      </c>
      <c r="O36" s="72"/>
      <c r="P36" s="72" t="s">
        <v>1851</v>
      </c>
      <c r="Q36" s="146"/>
      <c r="R36" s="517"/>
      <c r="S36" s="518"/>
      <c r="T36" s="518"/>
      <c r="U36" s="518" t="s">
        <v>1852</v>
      </c>
      <c r="V36" s="518"/>
      <c r="W36" s="518" t="s">
        <v>1853</v>
      </c>
      <c r="X36" s="666"/>
      <c r="Y36" s="666"/>
      <c r="Z36" s="520"/>
      <c r="AA36" s="521"/>
      <c r="AB36" s="52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522"/>
      <c r="AQ36" s="72"/>
      <c r="AR36" s="72"/>
      <c r="AS36" s="72"/>
      <c r="AT36" s="72"/>
      <c r="AU36" s="72"/>
      <c r="AV36" s="518"/>
      <c r="AW36" s="72"/>
      <c r="AX36" s="72"/>
      <c r="AY36" s="518"/>
      <c r="AZ36" s="518"/>
      <c r="BA36" s="521"/>
      <c r="BB36" s="642"/>
      <c r="BC36" s="642"/>
      <c r="BD36" s="642"/>
      <c r="BE36" s="642"/>
      <c r="BF36" s="642"/>
      <c r="BG36" s="642"/>
      <c r="BH36" s="522"/>
      <c r="BI36" s="72"/>
      <c r="BJ36" s="72"/>
      <c r="BK36" s="72"/>
      <c r="BL36" s="72"/>
      <c r="BM36" s="72"/>
      <c r="BN36" s="72"/>
      <c r="BO36" s="72"/>
      <c r="BP36" s="72"/>
      <c r="BQ36" s="517"/>
      <c r="BR36" s="518"/>
      <c r="BS36" s="518"/>
      <c r="BT36" s="518"/>
      <c r="BU36" s="518"/>
      <c r="BV36" s="72"/>
      <c r="BW36" s="72"/>
      <c r="BX36" s="72"/>
      <c r="BY36" s="518"/>
      <c r="BZ36" s="72"/>
      <c r="CA36" s="72"/>
      <c r="CB36" s="72"/>
      <c r="CC36" s="518"/>
      <c r="CD36" s="518"/>
      <c r="CE36" s="521"/>
    </row>
    <row r="37">
      <c r="A37" s="590"/>
      <c r="B37" s="514" t="s">
        <v>598</v>
      </c>
      <c r="C37" s="522">
        <v>0.873</v>
      </c>
      <c r="D37" s="72" t="s">
        <v>1446</v>
      </c>
      <c r="E37" s="72" t="s">
        <v>1447</v>
      </c>
      <c r="F37" s="72">
        <v>0.326</v>
      </c>
      <c r="G37" s="72" t="s">
        <v>1448</v>
      </c>
      <c r="H37" s="72" t="s">
        <v>1449</v>
      </c>
      <c r="I37" s="72">
        <v>0.791</v>
      </c>
      <c r="J37" s="72" t="s">
        <v>1450</v>
      </c>
      <c r="K37" s="72" t="s">
        <v>1451</v>
      </c>
      <c r="L37" s="72">
        <v>0.655</v>
      </c>
      <c r="M37" s="72" t="s">
        <v>1452</v>
      </c>
      <c r="N37" s="72" t="s">
        <v>1453</v>
      </c>
      <c r="O37" s="72">
        <v>0.755</v>
      </c>
      <c r="P37" s="72" t="s">
        <v>1454</v>
      </c>
      <c r="Q37" s="146" t="s">
        <v>1455</v>
      </c>
      <c r="R37" s="517">
        <v>0.475</v>
      </c>
      <c r="S37" s="518" t="s">
        <v>1458</v>
      </c>
      <c r="T37" s="518">
        <v>0.103</v>
      </c>
      <c r="U37" s="518" t="s">
        <v>1459</v>
      </c>
      <c r="V37" s="518">
        <v>0.569</v>
      </c>
      <c r="W37" s="518" t="s">
        <v>1460</v>
      </c>
      <c r="X37" s="666"/>
      <c r="Y37" s="666"/>
      <c r="Z37" s="520">
        <v>0.275</v>
      </c>
      <c r="AA37" s="521" t="s">
        <v>1462</v>
      </c>
      <c r="AB37" s="522"/>
      <c r="AC37" s="72" t="s">
        <v>1463</v>
      </c>
      <c r="AD37" s="72"/>
      <c r="AE37" s="72" t="s">
        <v>870</v>
      </c>
      <c r="AF37" s="72"/>
      <c r="AG37" s="72" t="s">
        <v>871</v>
      </c>
      <c r="AH37" s="72"/>
      <c r="AI37" s="72" t="s">
        <v>872</v>
      </c>
      <c r="AJ37" s="72"/>
      <c r="AK37" s="224" t="s">
        <v>873</v>
      </c>
      <c r="AL37" s="224"/>
      <c r="AM37" s="224"/>
      <c r="AN37" s="224"/>
      <c r="AO37" s="224"/>
      <c r="AP37" s="522"/>
      <c r="AQ37" s="72" t="s">
        <v>1464</v>
      </c>
      <c r="AR37" s="72" t="s">
        <v>1465</v>
      </c>
      <c r="AS37" s="72"/>
      <c r="AT37" s="72" t="s">
        <v>1466</v>
      </c>
      <c r="AU37" s="72" t="s">
        <v>1467</v>
      </c>
      <c r="AV37" s="518"/>
      <c r="AW37" s="72" t="s">
        <v>1468</v>
      </c>
      <c r="AX37" s="72" t="s">
        <v>1469</v>
      </c>
      <c r="AY37" s="518"/>
      <c r="AZ37" s="518" t="s">
        <v>1854</v>
      </c>
      <c r="BA37" s="521" t="s">
        <v>2086</v>
      </c>
      <c r="BB37" s="642"/>
      <c r="BC37" s="642"/>
      <c r="BD37" s="642"/>
      <c r="BE37" s="642"/>
      <c r="BF37" s="642"/>
      <c r="BG37" s="642"/>
      <c r="BH37" s="522"/>
      <c r="BI37" s="72"/>
      <c r="BJ37" s="72"/>
      <c r="BK37" s="72"/>
      <c r="BL37" s="72"/>
      <c r="BM37" s="72"/>
      <c r="BN37" s="72"/>
      <c r="BO37" s="72"/>
      <c r="BP37" s="72"/>
      <c r="BQ37" s="517"/>
      <c r="BR37" s="518"/>
      <c r="BS37" s="518"/>
      <c r="BT37" s="518"/>
      <c r="BU37" s="518"/>
      <c r="BV37" s="72"/>
      <c r="BW37" s="72"/>
      <c r="BX37" s="72"/>
      <c r="BY37" s="518"/>
      <c r="BZ37" s="72" t="s">
        <v>1478</v>
      </c>
      <c r="CA37" s="72"/>
      <c r="CB37" s="72" t="s">
        <v>1480</v>
      </c>
      <c r="CC37" s="518"/>
      <c r="CD37" s="518"/>
      <c r="CE37" s="521"/>
    </row>
    <row r="38">
      <c r="A38" s="590"/>
      <c r="B38" s="514" t="s">
        <v>725</v>
      </c>
      <c r="C38" s="530">
        <v>0.926</v>
      </c>
      <c r="D38" s="72" t="s">
        <v>1857</v>
      </c>
      <c r="E38" s="72" t="s">
        <v>1484</v>
      </c>
      <c r="F38" s="531">
        <v>0.803</v>
      </c>
      <c r="G38" s="72" t="s">
        <v>1485</v>
      </c>
      <c r="H38" s="72" t="s">
        <v>1858</v>
      </c>
      <c r="I38" s="72">
        <v>0.772</v>
      </c>
      <c r="J38" s="72" t="s">
        <v>1859</v>
      </c>
      <c r="K38" s="72" t="s">
        <v>1860</v>
      </c>
      <c r="L38" s="72">
        <v>0.683</v>
      </c>
      <c r="M38" s="72" t="s">
        <v>2087</v>
      </c>
      <c r="N38" s="72" t="s">
        <v>1862</v>
      </c>
      <c r="O38" s="72">
        <v>0.921</v>
      </c>
      <c r="P38" s="72" t="s">
        <v>1491</v>
      </c>
      <c r="Q38" s="146" t="s">
        <v>1863</v>
      </c>
      <c r="R38" s="517">
        <v>0.554</v>
      </c>
      <c r="S38" s="518" t="s">
        <v>1940</v>
      </c>
      <c r="T38" s="518">
        <v>0.118</v>
      </c>
      <c r="U38" s="518" t="s">
        <v>1864</v>
      </c>
      <c r="V38" s="518">
        <v>0.538</v>
      </c>
      <c r="W38" s="518" t="s">
        <v>1865</v>
      </c>
      <c r="X38" s="666"/>
      <c r="Y38" s="666"/>
      <c r="Z38" s="520">
        <v>0.458</v>
      </c>
      <c r="AA38" s="521" t="s">
        <v>2088</v>
      </c>
      <c r="AB38" s="522"/>
      <c r="AC38" s="72" t="s">
        <v>1500</v>
      </c>
      <c r="AD38" s="72"/>
      <c r="AE38" s="72" t="s">
        <v>1501</v>
      </c>
      <c r="AF38" s="72"/>
      <c r="AG38" s="72" t="s">
        <v>1502</v>
      </c>
      <c r="AH38" s="72"/>
      <c r="AI38" s="531" t="s">
        <v>1503</v>
      </c>
      <c r="AJ38" s="72"/>
      <c r="AK38" s="224" t="s">
        <v>1504</v>
      </c>
      <c r="AL38" s="224"/>
      <c r="AM38" s="224"/>
      <c r="AN38" s="224"/>
      <c r="AO38" s="224"/>
      <c r="AP38" s="522">
        <v>0.848</v>
      </c>
      <c r="AQ38" s="72" t="s">
        <v>1942</v>
      </c>
      <c r="AR38" s="72" t="s">
        <v>1943</v>
      </c>
      <c r="AS38" s="72">
        <v>0.896</v>
      </c>
      <c r="AT38" s="224" t="s">
        <v>1944</v>
      </c>
      <c r="AU38" s="72" t="s">
        <v>1508</v>
      </c>
      <c r="AV38" s="518"/>
      <c r="AW38" s="72" t="s">
        <v>1945</v>
      </c>
      <c r="AX38" s="72" t="s">
        <v>1510</v>
      </c>
      <c r="AY38" s="518"/>
      <c r="AZ38" s="518" t="s">
        <v>1867</v>
      </c>
      <c r="BA38" s="521"/>
      <c r="BB38" s="642"/>
      <c r="BC38" s="642"/>
      <c r="BD38" s="642"/>
      <c r="BE38" s="642"/>
      <c r="BF38" s="642"/>
      <c r="BG38" s="642"/>
      <c r="BH38" s="522"/>
      <c r="BI38" s="72"/>
      <c r="BJ38" s="72"/>
      <c r="BK38" s="72"/>
      <c r="BL38" s="72"/>
      <c r="BM38" s="72"/>
      <c r="BN38" s="72"/>
      <c r="BO38" s="72"/>
      <c r="BP38" s="72"/>
      <c r="BQ38" s="517"/>
      <c r="BR38" s="518"/>
      <c r="BS38" s="518"/>
      <c r="BT38" s="518"/>
      <c r="BU38" s="518"/>
      <c r="BV38" s="72" t="s">
        <v>1946</v>
      </c>
      <c r="BW38" s="72"/>
      <c r="BX38" s="72"/>
      <c r="BY38" s="518"/>
      <c r="BZ38" s="72" t="s">
        <v>1947</v>
      </c>
      <c r="CA38" s="72"/>
      <c r="CB38" s="72"/>
      <c r="CC38" s="518"/>
      <c r="CD38" s="518"/>
      <c r="CE38" s="521"/>
    </row>
    <row r="39">
      <c r="A39" s="590"/>
      <c r="B39" s="142" t="s">
        <v>726</v>
      </c>
      <c r="C39" s="26"/>
      <c r="D39" s="72" t="s">
        <v>1868</v>
      </c>
      <c r="E39" s="72" t="s">
        <v>1525</v>
      </c>
      <c r="F39" s="72"/>
      <c r="G39" s="72" t="s">
        <v>1526</v>
      </c>
      <c r="H39" s="72" t="s">
        <v>1527</v>
      </c>
      <c r="I39" s="26"/>
      <c r="J39" s="72" t="s">
        <v>1528</v>
      </c>
      <c r="K39" s="72"/>
      <c r="L39" s="26"/>
      <c r="M39" s="72" t="s">
        <v>1530</v>
      </c>
      <c r="N39" s="72"/>
      <c r="O39" s="72"/>
      <c r="P39" s="72" t="s">
        <v>1532</v>
      </c>
      <c r="Q39" s="146"/>
      <c r="R39" s="517"/>
      <c r="S39" s="543" t="s">
        <v>2089</v>
      </c>
      <c r="T39" s="518"/>
      <c r="U39" s="518" t="s">
        <v>1537</v>
      </c>
      <c r="V39" s="518"/>
      <c r="W39" s="518" t="s">
        <v>1538</v>
      </c>
      <c r="X39" s="666"/>
      <c r="Y39" s="666"/>
      <c r="Z39" s="520"/>
      <c r="AA39" s="521" t="s">
        <v>2090</v>
      </c>
      <c r="AB39" s="522"/>
      <c r="AC39" s="72" t="s">
        <v>1541</v>
      </c>
      <c r="AD39" s="72"/>
      <c r="AE39" s="72" t="s">
        <v>1542</v>
      </c>
      <c r="AF39" s="72"/>
      <c r="AG39" s="72" t="s">
        <v>1543</v>
      </c>
      <c r="AH39" s="72"/>
      <c r="AI39" s="72" t="s">
        <v>2091</v>
      </c>
      <c r="AJ39" s="72"/>
      <c r="AK39" s="484" t="s">
        <v>1545</v>
      </c>
      <c r="AL39" s="484"/>
      <c r="AM39" s="484"/>
      <c r="AN39" s="484"/>
      <c r="AO39" s="484"/>
      <c r="AP39" s="522"/>
      <c r="AQ39" s="72" t="s">
        <v>1546</v>
      </c>
      <c r="AR39" s="636"/>
      <c r="AS39" s="72"/>
      <c r="AT39" s="72"/>
      <c r="AU39" s="72"/>
      <c r="AV39" s="518"/>
      <c r="AW39" s="72" t="s">
        <v>1550</v>
      </c>
      <c r="AX39" s="72" t="s">
        <v>1551</v>
      </c>
      <c r="AY39" s="518"/>
      <c r="AZ39" s="518"/>
      <c r="BA39" s="521"/>
      <c r="BB39" s="642"/>
      <c r="BC39" s="642"/>
      <c r="BD39" s="642"/>
      <c r="BE39" s="642"/>
      <c r="BF39" s="642"/>
      <c r="BG39" s="642"/>
      <c r="BH39" s="522"/>
      <c r="BI39" s="72"/>
      <c r="BJ39" s="72"/>
      <c r="BK39" s="72"/>
      <c r="BL39" s="72"/>
      <c r="BM39" s="72"/>
      <c r="BN39" s="72"/>
      <c r="BO39" s="72"/>
      <c r="BP39" s="72"/>
      <c r="BQ39" s="517"/>
      <c r="BR39" s="518"/>
      <c r="BS39" s="518"/>
      <c r="BT39" s="518"/>
      <c r="BU39" s="518"/>
      <c r="BV39" s="72" t="s">
        <v>2092</v>
      </c>
      <c r="BW39" s="72"/>
      <c r="BX39" s="72"/>
      <c r="BY39" s="518"/>
      <c r="BZ39" s="72"/>
      <c r="CA39" s="72"/>
      <c r="CB39" s="72"/>
      <c r="CC39" s="518"/>
      <c r="CD39" s="518"/>
      <c r="CE39" s="521"/>
    </row>
    <row r="40">
      <c r="A40" s="590"/>
      <c r="B40" s="142" t="s">
        <v>727</v>
      </c>
      <c r="C40" s="26"/>
      <c r="D40" s="531" t="s">
        <v>2093</v>
      </c>
      <c r="E40" s="531" t="s">
        <v>1566</v>
      </c>
      <c r="F40" s="72"/>
      <c r="G40" s="531" t="s">
        <v>1567</v>
      </c>
      <c r="H40" s="531" t="s">
        <v>1568</v>
      </c>
      <c r="I40" s="26"/>
      <c r="J40" s="72" t="s">
        <v>1873</v>
      </c>
      <c r="K40" s="72" t="s">
        <v>1874</v>
      </c>
      <c r="L40" s="26"/>
      <c r="M40" s="72" t="s">
        <v>1571</v>
      </c>
      <c r="N40" s="72" t="s">
        <v>1875</v>
      </c>
      <c r="O40" s="72"/>
      <c r="P40" s="72" t="s">
        <v>1573</v>
      </c>
      <c r="Q40" s="146" t="s">
        <v>1574</v>
      </c>
      <c r="R40" s="517"/>
      <c r="S40" s="518" t="s">
        <v>1577</v>
      </c>
      <c r="T40" s="518"/>
      <c r="U40" s="518" t="s">
        <v>1578</v>
      </c>
      <c r="V40" s="518"/>
      <c r="W40" s="518" t="s">
        <v>1579</v>
      </c>
      <c r="X40" s="666"/>
      <c r="Y40" s="666"/>
      <c r="Z40" s="520"/>
      <c r="AA40" s="521"/>
      <c r="AB40" s="522"/>
      <c r="AC40" s="72" t="s">
        <v>1582</v>
      </c>
      <c r="AD40" s="72"/>
      <c r="AE40" s="72" t="s">
        <v>1583</v>
      </c>
      <c r="AF40" s="72"/>
      <c r="AG40" s="72"/>
      <c r="AH40" s="72"/>
      <c r="AI40" s="72"/>
      <c r="AJ40" s="72"/>
      <c r="AK40" s="224"/>
      <c r="AL40" s="224"/>
      <c r="AM40" s="224"/>
      <c r="AN40" s="224"/>
      <c r="AO40" s="224"/>
      <c r="AP40" s="522"/>
      <c r="AQ40" s="72"/>
      <c r="AR40" s="72"/>
      <c r="AS40" s="72"/>
      <c r="AT40" s="72"/>
      <c r="AU40" s="72"/>
      <c r="AV40" s="518"/>
      <c r="AW40" s="72"/>
      <c r="AX40" s="72"/>
      <c r="AY40" s="518"/>
      <c r="AZ40" s="518"/>
      <c r="BA40" s="521"/>
      <c r="BB40" s="642"/>
      <c r="BC40" s="642"/>
      <c r="BD40" s="642"/>
      <c r="BE40" s="642"/>
      <c r="BF40" s="642"/>
      <c r="BG40" s="642"/>
      <c r="BH40" s="522"/>
      <c r="BI40" s="72"/>
      <c r="BJ40" s="72"/>
      <c r="BK40" s="72"/>
      <c r="BL40" s="72"/>
      <c r="BM40" s="72"/>
      <c r="BN40" s="72"/>
      <c r="BO40" s="72"/>
      <c r="BP40" s="72"/>
      <c r="BQ40" s="517"/>
      <c r="BR40" s="518"/>
      <c r="BS40" s="518"/>
      <c r="BT40" s="518"/>
      <c r="BU40" s="518"/>
      <c r="BV40" s="72"/>
      <c r="BW40" s="72"/>
      <c r="BX40" s="72"/>
      <c r="BY40" s="518"/>
      <c r="BZ40" s="72"/>
      <c r="CA40" s="72"/>
      <c r="CB40" s="72"/>
      <c r="CC40" s="518"/>
      <c r="CD40" s="518"/>
      <c r="CE40" s="521"/>
    </row>
    <row r="41">
      <c r="A41" s="624"/>
      <c r="B41" s="561" t="s">
        <v>728</v>
      </c>
      <c r="C41" s="325"/>
      <c r="D41" s="72" t="s">
        <v>1876</v>
      </c>
      <c r="E41" s="563"/>
      <c r="F41" s="563"/>
      <c r="G41" s="563" t="s">
        <v>1608</v>
      </c>
      <c r="H41" s="563"/>
      <c r="I41" s="326"/>
      <c r="J41" s="563" t="s">
        <v>1877</v>
      </c>
      <c r="K41" s="563"/>
      <c r="L41" s="326"/>
      <c r="M41" s="563" t="s">
        <v>1878</v>
      </c>
      <c r="N41" s="563"/>
      <c r="O41" s="563"/>
      <c r="P41" s="563"/>
      <c r="Q41" s="573"/>
      <c r="R41" s="662"/>
      <c r="S41" s="568" t="s">
        <v>1618</v>
      </c>
      <c r="T41" s="568"/>
      <c r="U41" s="568" t="s">
        <v>1619</v>
      </c>
      <c r="V41" s="568"/>
      <c r="W41" s="568"/>
      <c r="X41" s="670"/>
      <c r="Y41" s="670"/>
      <c r="Z41" s="571"/>
      <c r="AA41" s="572" t="s">
        <v>1622</v>
      </c>
      <c r="AB41" s="562"/>
      <c r="AC41" s="563"/>
      <c r="AD41" s="563"/>
      <c r="AE41" s="563"/>
      <c r="AF41" s="563"/>
      <c r="AG41" s="563"/>
      <c r="AH41" s="563"/>
      <c r="AI41" s="563"/>
      <c r="AJ41" s="563"/>
      <c r="AK41" s="492"/>
      <c r="AL41" s="492"/>
      <c r="AM41" s="492"/>
      <c r="AN41" s="492"/>
      <c r="AO41" s="492"/>
      <c r="AP41" s="562"/>
      <c r="AQ41" s="674"/>
      <c r="AR41" s="674"/>
      <c r="AS41" s="563"/>
      <c r="AT41" s="563"/>
      <c r="AU41" s="563"/>
      <c r="AV41" s="568"/>
      <c r="AW41" s="563"/>
      <c r="AX41" s="563"/>
      <c r="AY41" s="568"/>
      <c r="AZ41" s="568"/>
      <c r="BA41" s="572"/>
      <c r="BB41" s="653"/>
      <c r="BC41" s="653"/>
      <c r="BD41" s="653"/>
      <c r="BE41" s="653"/>
      <c r="BF41" s="653"/>
      <c r="BG41" s="653"/>
      <c r="BH41" s="562"/>
      <c r="BI41" s="563"/>
      <c r="BJ41" s="563"/>
      <c r="BK41" s="563"/>
      <c r="BL41" s="563"/>
      <c r="BM41" s="563"/>
      <c r="BN41" s="563"/>
      <c r="BO41" s="563"/>
      <c r="BP41" s="563"/>
      <c r="BQ41" s="517"/>
      <c r="BR41" s="568"/>
      <c r="BS41" s="568"/>
      <c r="BT41" s="568"/>
      <c r="BU41" s="568"/>
      <c r="BV41" s="563"/>
      <c r="BW41" s="563"/>
      <c r="BX41" s="563"/>
      <c r="BY41" s="568"/>
      <c r="BZ41" s="563"/>
      <c r="CA41" s="563"/>
      <c r="CB41" s="563"/>
      <c r="CC41" s="568"/>
      <c r="CD41" s="568"/>
      <c r="CE41" s="572"/>
    </row>
    <row r="42">
      <c r="A42" s="224"/>
      <c r="B42" s="224"/>
      <c r="C42" s="26"/>
      <c r="D42" s="224"/>
      <c r="E42" s="224"/>
      <c r="F42" s="72"/>
      <c r="G42" s="224"/>
      <c r="H42" s="224"/>
      <c r="I42" s="26"/>
      <c r="J42" s="224"/>
      <c r="K42" s="224"/>
      <c r="L42" s="26"/>
      <c r="M42" s="224"/>
      <c r="N42" s="224"/>
      <c r="O42" s="72"/>
      <c r="P42" s="72"/>
      <c r="Q42" s="224"/>
      <c r="R42" s="518"/>
      <c r="S42" s="518"/>
      <c r="T42" s="518"/>
      <c r="U42" s="518"/>
      <c r="V42" s="518"/>
      <c r="W42" s="518"/>
      <c r="X42" s="666"/>
      <c r="Y42" s="666"/>
      <c r="Z42" s="520"/>
      <c r="AA42" s="518"/>
      <c r="AB42" s="72"/>
      <c r="AC42" s="72"/>
      <c r="AD42" s="72"/>
      <c r="AE42" s="72"/>
      <c r="AF42" s="72"/>
      <c r="AG42" s="72"/>
      <c r="AH42" s="72"/>
      <c r="AI42" s="72"/>
      <c r="AJ42" s="72"/>
      <c r="AK42" s="224"/>
      <c r="AL42" s="224"/>
      <c r="AM42" s="224"/>
      <c r="AN42" s="224"/>
      <c r="AO42" s="224"/>
      <c r="AP42" s="72"/>
      <c r="AQ42" s="636"/>
      <c r="AR42" s="636"/>
      <c r="AS42" s="72"/>
      <c r="AT42" s="72"/>
      <c r="AU42" s="72"/>
      <c r="AV42" s="518"/>
      <c r="AW42" s="72"/>
      <c r="AX42" s="72"/>
      <c r="AY42" s="518"/>
      <c r="AZ42" s="518"/>
      <c r="BA42" s="518"/>
      <c r="BB42" s="642"/>
      <c r="BC42" s="642"/>
      <c r="BD42" s="642"/>
      <c r="BE42" s="642"/>
      <c r="BF42" s="642"/>
      <c r="BG42" s="642"/>
      <c r="BH42" s="72"/>
      <c r="BI42" s="72"/>
      <c r="BJ42" s="72"/>
      <c r="BK42" s="72"/>
      <c r="BL42" s="72"/>
      <c r="BM42" s="72"/>
      <c r="BN42" s="72"/>
      <c r="BO42" s="72"/>
      <c r="BP42" s="72"/>
      <c r="BQ42" s="518"/>
      <c r="BR42" s="518"/>
      <c r="BS42" s="518"/>
      <c r="BT42" s="518"/>
      <c r="BU42" s="518"/>
      <c r="BV42" s="72"/>
      <c r="BW42" s="72"/>
      <c r="BX42" s="72"/>
      <c r="BY42" s="518"/>
      <c r="BZ42" s="72"/>
      <c r="CA42" s="72"/>
      <c r="CB42" s="72"/>
      <c r="CC42" s="518"/>
      <c r="CD42" s="518"/>
      <c r="CE42" s="518"/>
    </row>
    <row r="43">
      <c r="A43" s="224"/>
      <c r="B43" s="224"/>
      <c r="C43" s="26"/>
      <c r="D43" s="224"/>
      <c r="E43" s="224"/>
      <c r="F43" s="72"/>
      <c r="G43" s="224"/>
      <c r="H43" s="224"/>
      <c r="I43" s="26"/>
      <c r="J43" s="224"/>
      <c r="K43" s="224"/>
      <c r="L43" s="26"/>
      <c r="M43" s="224"/>
      <c r="N43" s="224"/>
      <c r="O43" s="72"/>
      <c r="P43" s="72"/>
      <c r="Q43" s="224"/>
      <c r="R43" s="518"/>
      <c r="S43" s="518"/>
      <c r="T43" s="518"/>
      <c r="U43" s="518"/>
      <c r="V43" s="518"/>
      <c r="W43" s="518"/>
      <c r="X43" s="666"/>
      <c r="Y43" s="666"/>
      <c r="Z43" s="520"/>
      <c r="AA43" s="518"/>
      <c r="AB43" s="72"/>
      <c r="AC43" s="72"/>
      <c r="AD43" s="72"/>
      <c r="AE43" s="72"/>
      <c r="AF43" s="72"/>
      <c r="AG43" s="72"/>
      <c r="AH43" s="72"/>
      <c r="AI43" s="72"/>
      <c r="AJ43" s="72"/>
      <c r="AK43" s="224"/>
      <c r="AL43" s="224"/>
      <c r="AM43" s="224"/>
      <c r="AN43" s="224"/>
      <c r="AO43" s="224"/>
      <c r="AP43" s="72"/>
      <c r="AQ43" s="636"/>
      <c r="AR43" s="636"/>
      <c r="AS43" s="72"/>
      <c r="AT43" s="72"/>
      <c r="AU43" s="72"/>
      <c r="AV43" s="518"/>
      <c r="AW43" s="72"/>
      <c r="AX43" s="72"/>
      <c r="AY43" s="518"/>
      <c r="AZ43" s="518"/>
      <c r="BA43" s="518"/>
      <c r="BB43" s="642"/>
      <c r="BC43" s="642"/>
      <c r="BD43" s="642"/>
      <c r="BE43" s="642"/>
      <c r="BF43" s="642"/>
      <c r="BG43" s="642"/>
      <c r="BH43" s="72"/>
      <c r="BI43" s="72"/>
      <c r="BJ43" s="72"/>
      <c r="BK43" s="72"/>
      <c r="BL43" s="72"/>
      <c r="BM43" s="72"/>
      <c r="BN43" s="72"/>
      <c r="BO43" s="72"/>
      <c r="BP43" s="72"/>
      <c r="BQ43" s="518"/>
      <c r="BR43" s="518"/>
      <c r="BS43" s="518"/>
      <c r="BT43" s="518"/>
      <c r="BU43" s="518"/>
      <c r="BV43" s="72"/>
      <c r="BW43" s="72"/>
      <c r="BX43" s="72"/>
      <c r="BY43" s="518"/>
      <c r="BZ43" s="72"/>
      <c r="CA43" s="72"/>
      <c r="CB43" s="72"/>
      <c r="CC43" s="518"/>
      <c r="CD43" s="518"/>
      <c r="CE43" s="518"/>
    </row>
    <row r="44">
      <c r="A44" s="224"/>
      <c r="B44" s="224"/>
      <c r="C44" s="26"/>
      <c r="D44" s="224"/>
      <c r="E44" s="224"/>
      <c r="F44" s="72"/>
      <c r="G44" s="224"/>
      <c r="H44" s="224"/>
      <c r="I44" s="26"/>
      <c r="J44" s="224"/>
      <c r="K44" s="224"/>
      <c r="L44" s="26"/>
      <c r="M44" s="224"/>
      <c r="N44" s="224"/>
      <c r="O44" s="72"/>
      <c r="P44" s="72"/>
      <c r="Q44" s="224"/>
      <c r="R44" s="518"/>
      <c r="S44" s="518"/>
      <c r="T44" s="518"/>
      <c r="U44" s="518"/>
      <c r="V44" s="518"/>
      <c r="W44" s="518"/>
      <c r="X44" s="666"/>
      <c r="Y44" s="666"/>
      <c r="Z44" s="520"/>
      <c r="AA44" s="518"/>
      <c r="AB44" s="72"/>
      <c r="AC44" s="72"/>
      <c r="AD44" s="72"/>
      <c r="AE44" s="72"/>
      <c r="AF44" s="72"/>
      <c r="AG44" s="72"/>
      <c r="AH44" s="72"/>
      <c r="AI44" s="72"/>
      <c r="AJ44" s="72"/>
      <c r="AK44" s="224"/>
      <c r="AL44" s="224"/>
      <c r="AM44" s="224"/>
      <c r="AN44" s="224"/>
      <c r="AO44" s="224"/>
      <c r="AP44" s="72"/>
      <c r="AQ44" s="636"/>
      <c r="AR44" s="636"/>
      <c r="AS44" s="72"/>
      <c r="AT44" s="72"/>
      <c r="AU44" s="72"/>
      <c r="AV44" s="518"/>
      <c r="AW44" s="72"/>
      <c r="AX44" s="72"/>
      <c r="AY44" s="518"/>
      <c r="AZ44" s="518"/>
      <c r="BA44" s="518"/>
      <c r="BB44" s="642"/>
      <c r="BC44" s="642"/>
      <c r="BD44" s="642"/>
      <c r="BE44" s="642"/>
      <c r="BF44" s="642"/>
      <c r="BG44" s="642"/>
      <c r="BH44" s="72"/>
      <c r="BI44" s="72"/>
      <c r="BJ44" s="72"/>
      <c r="BK44" s="72"/>
      <c r="BL44" s="72"/>
      <c r="BM44" s="72"/>
      <c r="BN44" s="72"/>
      <c r="BO44" s="72"/>
      <c r="BP44" s="72"/>
      <c r="BQ44" s="518"/>
      <c r="BR44" s="518"/>
      <c r="BS44" s="518"/>
      <c r="BT44" s="518"/>
      <c r="BU44" s="518"/>
      <c r="BV44" s="72"/>
      <c r="BW44" s="72"/>
      <c r="BX44" s="72"/>
      <c r="BY44" s="518"/>
      <c r="BZ44" s="72"/>
      <c r="CA44" s="72"/>
      <c r="CB44" s="72"/>
      <c r="CC44" s="518"/>
      <c r="CD44" s="518"/>
      <c r="CE44" s="518"/>
    </row>
    <row r="45">
      <c r="A45" s="224"/>
      <c r="B45" s="224"/>
      <c r="C45" s="26"/>
      <c r="D45" s="224"/>
      <c r="E45" s="224"/>
      <c r="F45" s="72"/>
      <c r="G45" s="224"/>
      <c r="H45" s="224"/>
      <c r="I45" s="26"/>
      <c r="J45" s="224"/>
      <c r="K45" s="224"/>
      <c r="L45" s="26"/>
      <c r="M45" s="224"/>
      <c r="N45" s="224"/>
      <c r="O45" s="72"/>
      <c r="P45" s="72"/>
      <c r="Q45" s="224"/>
      <c r="R45" s="518"/>
      <c r="S45" s="518"/>
      <c r="T45" s="518"/>
      <c r="U45" s="518"/>
      <c r="V45" s="518"/>
      <c r="W45" s="518"/>
      <c r="X45" s="518"/>
      <c r="Y45" s="518"/>
      <c r="Z45" s="518"/>
      <c r="AA45" s="518"/>
      <c r="AB45" s="72"/>
      <c r="AC45" s="72"/>
      <c r="AD45" s="72"/>
      <c r="AE45" s="72"/>
      <c r="AF45" s="72"/>
      <c r="AG45" s="72"/>
      <c r="AH45" s="72"/>
      <c r="AI45" s="72"/>
      <c r="AJ45" s="72"/>
      <c r="AK45" s="224"/>
      <c r="AL45" s="224"/>
      <c r="AM45" s="224"/>
      <c r="AN45" s="224"/>
      <c r="AO45" s="224"/>
      <c r="AP45" s="72"/>
      <c r="AQ45" s="72"/>
      <c r="AR45" s="72"/>
      <c r="AS45" s="72"/>
      <c r="AT45" s="72"/>
      <c r="AU45" s="72"/>
      <c r="AV45" s="518"/>
      <c r="AW45" s="72"/>
      <c r="AX45" s="72"/>
      <c r="AY45" s="518"/>
      <c r="AZ45" s="518"/>
      <c r="BA45" s="518"/>
      <c r="BB45" s="518"/>
      <c r="BC45" s="518"/>
      <c r="BD45" s="518"/>
      <c r="BE45" s="518"/>
      <c r="BF45" s="518"/>
      <c r="BG45" s="518"/>
      <c r="BH45" s="518"/>
      <c r="BI45" s="518"/>
      <c r="BJ45" s="518"/>
      <c r="BK45" s="518"/>
      <c r="BL45" s="518"/>
      <c r="BM45" s="518"/>
      <c r="BN45" s="518"/>
      <c r="BO45" s="518"/>
      <c r="BP45" s="518"/>
      <c r="BQ45" s="518"/>
      <c r="BR45" s="518"/>
      <c r="BS45" s="518"/>
      <c r="BT45" s="518"/>
      <c r="BU45" s="518"/>
      <c r="BV45" s="72"/>
      <c r="BW45" s="72"/>
      <c r="BX45" s="72"/>
      <c r="BY45" s="72"/>
      <c r="BZ45" s="72"/>
      <c r="CA45" s="72"/>
      <c r="CB45" s="72"/>
      <c r="CC45" s="518"/>
      <c r="CD45" s="518"/>
      <c r="CE45" s="518"/>
    </row>
    <row r="46">
      <c r="A46" s="224"/>
      <c r="B46" s="224"/>
      <c r="C46" s="26"/>
      <c r="D46" s="224"/>
      <c r="E46" s="224"/>
      <c r="F46" s="72"/>
      <c r="G46" s="224"/>
      <c r="H46" s="224"/>
      <c r="I46" s="26"/>
      <c r="J46" s="224"/>
      <c r="K46" s="224"/>
      <c r="L46" s="26"/>
      <c r="M46" s="224"/>
      <c r="N46" s="224"/>
      <c r="O46" s="72"/>
      <c r="P46" s="72"/>
      <c r="Q46" s="224"/>
      <c r="R46" s="518"/>
      <c r="S46" s="518"/>
      <c r="T46" s="518"/>
      <c r="U46" s="518"/>
      <c r="V46" s="518"/>
      <c r="W46" s="518"/>
      <c r="X46" s="518"/>
      <c r="Y46" s="518"/>
      <c r="Z46" s="518"/>
      <c r="AA46" s="518"/>
      <c r="AB46" s="72"/>
      <c r="AC46" s="72"/>
      <c r="AD46" s="72"/>
      <c r="AE46" s="72"/>
      <c r="AF46" s="72"/>
      <c r="AG46" s="72"/>
      <c r="AH46" s="72"/>
      <c r="AI46" s="72"/>
      <c r="AJ46" s="72"/>
      <c r="AK46" s="224"/>
      <c r="AL46" s="224"/>
      <c r="AM46" s="224"/>
      <c r="AN46" s="224"/>
      <c r="AO46" s="224"/>
      <c r="AP46" s="72"/>
      <c r="AQ46" s="72"/>
      <c r="AR46" s="72"/>
      <c r="AS46" s="72"/>
      <c r="AT46" s="72"/>
      <c r="AU46" s="72"/>
      <c r="AV46" s="518"/>
      <c r="AW46" s="72"/>
      <c r="AX46" s="72"/>
      <c r="AY46" s="518"/>
      <c r="AZ46" s="518"/>
      <c r="BA46" s="518"/>
      <c r="BB46" s="518"/>
      <c r="BC46" s="518"/>
      <c r="BD46" s="518"/>
      <c r="BE46" s="518"/>
      <c r="BF46" s="518"/>
      <c r="BG46" s="518"/>
      <c r="BH46" s="518"/>
      <c r="BI46" s="518"/>
      <c r="BJ46" s="518"/>
      <c r="BK46" s="518"/>
      <c r="BL46" s="518"/>
      <c r="BM46" s="518"/>
      <c r="BN46" s="518"/>
      <c r="BO46" s="518"/>
      <c r="BP46" s="518"/>
      <c r="BQ46" s="518"/>
      <c r="BR46" s="518"/>
      <c r="BS46" s="518"/>
      <c r="BT46" s="518"/>
      <c r="BU46" s="518"/>
      <c r="BV46" s="72"/>
      <c r="BW46" s="72"/>
      <c r="BX46" s="72"/>
      <c r="BY46" s="72"/>
      <c r="BZ46" s="72"/>
      <c r="CA46" s="72"/>
      <c r="CB46" s="72"/>
      <c r="CC46" s="518"/>
      <c r="CD46" s="518"/>
      <c r="CE46" s="518"/>
    </row>
    <row r="47">
      <c r="A47" s="224"/>
      <c r="B47" s="224"/>
      <c r="C47" s="26"/>
      <c r="D47" s="224"/>
      <c r="E47" s="224"/>
      <c r="F47" s="72"/>
      <c r="G47" s="224"/>
      <c r="H47" s="224"/>
      <c r="I47" s="26"/>
      <c r="J47" s="224"/>
      <c r="K47" s="224"/>
      <c r="L47" s="26"/>
      <c r="M47" s="224"/>
      <c r="N47" s="224"/>
      <c r="O47" s="72"/>
      <c r="P47" s="72"/>
      <c r="Q47" s="224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224"/>
      <c r="AL47" s="224"/>
      <c r="AM47" s="224"/>
      <c r="AN47" s="224"/>
      <c r="AO47" s="224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</row>
    <row r="49">
      <c r="A49" s="224"/>
    </row>
    <row r="50">
      <c r="A50" s="224"/>
      <c r="L50" s="224" t="s">
        <v>692</v>
      </c>
    </row>
    <row r="51">
      <c r="A51" s="224" t="s">
        <v>693</v>
      </c>
    </row>
    <row r="56">
      <c r="AS56" s="224"/>
      <c r="AT56" s="224"/>
      <c r="AU56" s="224"/>
      <c r="AV56" s="224" t="s">
        <v>1647</v>
      </c>
    </row>
    <row r="57">
      <c r="AV57" s="1" t="s">
        <v>12</v>
      </c>
      <c r="AW57" s="1" t="s">
        <v>13</v>
      </c>
      <c r="AY57" s="1" t="s">
        <v>14</v>
      </c>
      <c r="AZ57" s="1" t="s">
        <v>15</v>
      </c>
      <c r="BC57" s="1" t="s">
        <v>1880</v>
      </c>
    </row>
    <row r="58">
      <c r="AQ58" s="224" t="s">
        <v>694</v>
      </c>
      <c r="AR58" s="224"/>
      <c r="AS58" s="531"/>
      <c r="AT58" s="531"/>
      <c r="AU58" s="531"/>
      <c r="AV58" s="531">
        <v>0.708</v>
      </c>
      <c r="AW58" s="531">
        <v>0.714</v>
      </c>
      <c r="AX58" s="531"/>
      <c r="AY58" s="72">
        <v>0.621</v>
      </c>
      <c r="AZ58" s="72">
        <v>0.387</v>
      </c>
      <c r="BA58" s="72"/>
      <c r="BB58" s="531"/>
      <c r="BC58" s="531">
        <v>0.834</v>
      </c>
    </row>
    <row r="59">
      <c r="AQ59" s="224" t="s">
        <v>695</v>
      </c>
      <c r="AR59" s="224"/>
      <c r="AS59" s="72"/>
      <c r="AT59" s="72"/>
      <c r="AU59" s="72"/>
      <c r="AV59" s="72">
        <v>0.684</v>
      </c>
      <c r="AW59" s="72">
        <v>0.282</v>
      </c>
      <c r="AX59" s="72"/>
      <c r="AY59" s="531">
        <v>0.755</v>
      </c>
      <c r="AZ59" s="531">
        <v>0.491</v>
      </c>
      <c r="BA59" s="531"/>
      <c r="BB59" s="72"/>
      <c r="BC59" s="72">
        <v>0.683</v>
      </c>
    </row>
  </sheetData>
  <mergeCells count="19">
    <mergeCell ref="BQ3:BR3"/>
    <mergeCell ref="BS3:BT3"/>
    <mergeCell ref="CC3:CE3"/>
    <mergeCell ref="Z3:AA3"/>
    <mergeCell ref="AF3:AG3"/>
    <mergeCell ref="AP3:AQ3"/>
    <mergeCell ref="AS3:AT3"/>
    <mergeCell ref="BB3:BD3"/>
    <mergeCell ref="BE3:BG3"/>
    <mergeCell ref="BH3:BI3"/>
    <mergeCell ref="A5:A14"/>
    <mergeCell ref="A15:A41"/>
    <mergeCell ref="A1:B1"/>
    <mergeCell ref="C3:D3"/>
    <mergeCell ref="F3:G3"/>
    <mergeCell ref="I3:J3"/>
    <mergeCell ref="L3:M3"/>
    <mergeCell ref="O3:Q3"/>
    <mergeCell ref="R3:S3"/>
  </mergeCells>
  <conditionalFormatting sqref="C5:C3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5:F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5:I4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L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5:O4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5:D41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5:R41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5:V4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5:T41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Z5:Z41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5:Q38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